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05d72ce498b4333" /></Relationships>
</file>

<file path=xl/workbook.xml><?xml version="1.0" encoding="utf-8"?>
<x:workbook xmlns:x="http://schemas.openxmlformats.org/spreadsheetml/2006/main">
  <x:sheets>
    <x:sheet xmlns:r="http://schemas.openxmlformats.org/officeDocument/2006/relationships" name="Issue Register" sheetId="1" r:id="R0c4ce6cd385b45e3"/>
    <x:sheet xmlns:r="http://schemas.openxmlformats.org/officeDocument/2006/relationships" name="Summary" sheetId="2" r:id="R153008a11a2a48f1"/>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00"/>
  </x:numFmts>
  <x:fonts count="8">
    <x:font>
      <x:sz val="11"/>
      <x:name val="Carlito"/>
    </x:font>
    <x:font>
      <x:b/>
      <x:sz val="11"/>
      <x:color rgb="FFFFFFFF"/>
      <x:name val="Carlito"/>
    </x:font>
    <x:font>
      <x:b/>
      <x:sz val="20"/>
      <x:color rgb="FFFFFFFF"/>
      <x:name val="Carlito"/>
    </x:font>
    <x:font>
      <x:i/>
      <x:sz val="11"/>
      <x:color rgb="FF365965"/>
      <x:name val="Carlito"/>
    </x:font>
    <x:font>
      <x:b/>
      <x:sz val="14"/>
      <x:color rgb="FF123B4A"/>
      <x:name val="Carlito"/>
    </x:font>
    <x:font>
      <x:b/>
      <x:sz val="11"/>
      <x:color rgb="FF123B4A"/>
      <x:name val="Carlito"/>
    </x:font>
    <x:font>
      <x:b/>
      <x:sz val="11"/>
      <x:color rgb="FF3D2C00"/>
      <x:name val="Carlito"/>
    </x:font>
    <x:font>
      <x:sz val="11"/>
      <x:color rgb="FF5A4500"/>
      <x:name val="Carlito"/>
    </x:font>
  </x:fonts>
  <x:fills count="8">
    <x:fill>
      <x:patternFill patternType="none"/>
    </x:fill>
    <x:fill>
      <x:patternFill patternType="gray125"/>
    </x:fill>
    <x:fill>
      <x:patternFill patternType="solid">
        <x:fgColor rgb="FF123B4A"/>
      </x:patternFill>
    </x:fill>
    <x:fill>
      <x:patternFill patternType="solid">
        <x:fgColor rgb="FFEAF3F5"/>
      </x:patternFill>
    </x:fill>
    <x:fill>
      <x:patternFill patternType="solid">
        <x:fgColor rgb="FF226B79"/>
      </x:patternFill>
    </x:fill>
    <x:fill>
      <x:patternFill patternType="solid">
        <x:fgColor rgb="FFF2F8F9"/>
      </x:patternFill>
    </x:fill>
    <x:fill>
      <x:patternFill patternType="solid">
        <x:fgColor rgb="FFF5B942"/>
      </x:patternFill>
    </x:fill>
    <x:fill>
      <x:patternFill patternType="solid">
        <x:fgColor rgb="FFFFF7DC"/>
      </x:patternFill>
    </x:fill>
  </x:fills>
  <x:borders count="20">
    <x:border/>
    <x:border/>
    <x:border>
      <x:left style="thin">
        <x:color rgb="FFD4E1E6"/>
      </x:left>
      <x:right style="thin">
        <x:color rgb="FFD4E1E6"/>
      </x:right>
      <x:top style="thin">
        <x:color rgb="FFD4E1E6"/>
      </x:top>
      <x:bottom style="thin">
        <x:color rgb="FFD4E1E6"/>
      </x:bottom>
    </x:border>
    <x:border>
      <x:left style="thin">
        <x:color rgb="FFD4E1E6"/>
      </x:left>
      <x:right style="thin">
        <x:color rgb="FFD4E1E6"/>
      </x:right>
      <x:top style="thin">
        <x:color rgb="FFD4E1E6"/>
      </x:top>
      <x:bottom style="thin">
        <x:color rgb="FFD4E1E6"/>
      </x:bottom>
    </x:border>
    <x:border>
      <x:left style="thin">
        <x:color rgb="FFDDE7EA"/>
      </x:left>
      <x:right style="thin">
        <x:color rgb="FFDDE7EA"/>
      </x:right>
      <x:top style="thin">
        <x:color rgb="FFDDE7EA"/>
      </x:top>
      <x:bottom style="thin">
        <x:color rgb="FFDDE7EA"/>
      </x:bottom>
    </x:border>
    <x:border>
      <x:left style="thin">
        <x:color rgb="FFDDE7EA"/>
      </x:left>
      <x:right style="thin">
        <x:color rgb="FFDDE7EA"/>
      </x:right>
      <x:top style="thin">
        <x:color rgb="FFDDE7EA"/>
      </x:top>
      <x:bottom style="thin">
        <x:color rgb="FFDDE7EA"/>
      </x:bottom>
    </x:border>
    <x:border>
      <x:left style="thin">
        <x:color rgb="FFC8DDE2"/>
      </x:left>
      <x:right style="thin">
        <x:color rgb="FFC8DDE2"/>
      </x:right>
      <x:top style="thin">
        <x:color rgb="FFC8DDE2"/>
      </x:top>
      <x:bottom style="thin">
        <x:color rgb="FFC8DDE2"/>
      </x:bottom>
    </x:border>
    <x:border>
      <x:left style="thin">
        <x:color rgb="FFC8DDE2"/>
      </x:left>
      <x:right style="thin">
        <x:color rgb="FFC8DDE2"/>
      </x:right>
      <x:top style="thin">
        <x:color rgb="FFC8DDE2"/>
      </x:top>
      <x:bottom style="thin">
        <x:color rgb="FFC8DDE2"/>
      </x:bottom>
    </x:border>
    <x:border>
      <x:left style="thin">
        <x:color rgb="FFE2C55D"/>
      </x:left>
      <x:top style="thin">
        <x:color rgb="FFE2C55D"/>
      </x:top>
    </x:border>
    <x:border>
      <x:top style="thin">
        <x:color rgb="FFE2C55D"/>
      </x:top>
    </x:border>
    <x:border>
      <x:right style="thin">
        <x:color rgb="FFE2C55D"/>
      </x:right>
      <x:top style="thin">
        <x:color rgb="FFE2C55D"/>
      </x:top>
    </x:border>
    <x:border>
      <x:left style="thin">
        <x:color rgb="FFE2C55D"/>
      </x:left>
      <x:bottom style="thin">
        <x:color rgb="FFE2C55D"/>
      </x:bottom>
    </x:border>
    <x:border>
      <x:bottom style="thin">
        <x:color rgb="FFE2C55D"/>
      </x:bottom>
    </x:border>
    <x:border>
      <x:right style="thin">
        <x:color rgb="FFE2C55D"/>
      </x:right>
      <x:bottom style="thin">
        <x:color rgb="FFE2C55D"/>
      </x:bottom>
    </x:border>
    <x:border>
      <x:left style="thin">
        <x:color rgb="FFE2C55D"/>
      </x:left>
      <x:top style="thin">
        <x:color rgb="FFE2C55D"/>
      </x:top>
    </x:border>
    <x:border>
      <x:top style="thin">
        <x:color rgb="FFE2C55D"/>
      </x:top>
    </x:border>
    <x:border>
      <x:right style="thin">
        <x:color rgb="FFE2C55D"/>
      </x:right>
      <x:top style="thin">
        <x:color rgb="FFE2C55D"/>
      </x:top>
    </x:border>
    <x:border>
      <x:left style="thin">
        <x:color rgb="FFE2C55D"/>
      </x:left>
      <x:bottom style="thin">
        <x:color rgb="FFE2C55D"/>
      </x:bottom>
    </x:border>
    <x:border>
      <x:bottom style="thin">
        <x:color rgb="FFE2C55D"/>
      </x:bottom>
    </x:border>
    <x:border>
      <x:right style="thin">
        <x:color rgb="FFE2C55D"/>
      </x:right>
      <x:bottom style="thin">
        <x:color rgb="FFE2C55D"/>
      </x:bottom>
    </x:border>
  </x:borders>
  <x:cellStyleXfs count="1">
    <x:xf numFmtId="0" fontId="0" fillId="0" borderId="0"/>
  </x:cellStyleXfs>
  <x:cellXfs count="100">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1" fillId="2" borderId="3" xfId="0" applyNumberFormat="1" applyFont="1" applyFill="1" applyBorder="1"/>
    <x:xf numFmtId="0" fontId="1" fillId="2" borderId="2" xfId="0" applyNumberFormat="1" applyFont="1" applyFill="1" applyBorder="1" applyAlignment="1">
      <x:alignment wrapText="1"/>
    </x:xf>
    <x:xf numFmtId="0" fontId="1" fillId="2" borderId="3" xfId="0" applyNumberFormat="1" applyFont="1" applyFill="1" applyBorder="1" applyAlignment="1">
      <x:alignment wrapText="1"/>
    </x:xf>
    <x:xf numFmtId="0" fontId="1" fillId="2" borderId="2" xfId="0" applyNumberFormat="1" applyFont="1" applyFill="1" applyBorder="1" applyAlignment="1">
      <x:alignment vertical="center" wrapText="1"/>
    </x:xf>
    <x:xf numFmtId="0" fontId="1" fillId="2" borderId="3" xfId="0" applyNumberFormat="1" applyFont="1" applyFill="1" applyBorder="1" applyAlignment="1">
      <x:alignment vertical="center" wrapText="1"/>
    </x:xf>
    <x:xf numFmtId="0" fontId="0" fillId="0" borderId="4" xfId="0" applyNumberFormat="1" applyFont="1" applyFill="1" applyBorder="1"/>
    <x:xf numFmtId="0" fontId="0" fillId="0" borderId="5" xfId="0" applyNumberFormat="1" applyFont="1" applyFill="1" applyBorder="1"/>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4" xfId="0" applyNumberFormat="1" applyFont="1" applyFill="1" applyBorder="1" applyAlignment="1">
      <x:alignment vertical="top" wrapText="1"/>
    </x:xf>
    <x:xf numFmtId="0" fontId="0" fillId="0" borderId="5" xfId="0" applyNumberFormat="1" applyFont="1" applyFill="1" applyBorder="1" applyAlignment="1">
      <x:alignment vertical="top" wrapText="1"/>
    </x:xf>
    <x:xf numFmtId="200" fontId="0" fillId="0" borderId="4" xfId="0" applyNumberFormat="1" applyFont="1" applyFill="1" applyBorder="1" applyAlignment="1">
      <x:alignment vertical="top" wrapText="1"/>
    </x:xf>
    <x:xf numFmtId="200" fontId="0" fillId="0" borderId="5" xfId="0" applyNumberFormat="1" applyFont="1" applyFill="1" applyBorder="1" applyAlignment="1">
      <x:alignment vertical="top" wrapText="1"/>
    </x:xf>
    <x:xf numFmtId="201" fontId="0" fillId="0" borderId="4" xfId="0" applyNumberFormat="1" applyFont="1" applyFill="1" applyBorder="1" applyAlignment="1">
      <x:alignment vertical="top" wrapText="1"/>
    </x:xf>
    <x:xf numFmtId="201" fontId="0" fillId="0" borderId="5" xfId="0" applyNumberFormat="1" applyFont="1" applyFill="1" applyBorder="1" applyAlignment="1">
      <x:alignment vertical="top" wrapText="1"/>
    </x:xf>
    <x:xf numFmtId="0" fontId="2" fillId="2" borderId="0" xfId="0" applyNumberFormat="1" applyFont="1" applyFill="1" applyBorder="1"/>
    <x:xf numFmtId="0" fontId="2" fillId="2" borderId="1" xfId="0" applyNumberFormat="1" applyFont="1" applyFill="1" applyBorder="1"/>
    <x:xf numFmtId="0" fontId="2" fillId="2" borderId="0" xfId="0" applyNumberFormat="1" applyFont="1" applyFill="1" applyBorder="1" applyAlignment="1">
      <x:alignment vertical="center"/>
    </x:xf>
    <x:xf numFmtId="0" fontId="2" fillId="2" borderId="1" xfId="0" applyNumberFormat="1" applyFont="1" applyFill="1" applyBorder="1" applyAlignment="1">
      <x:alignment vertical="center"/>
    </x:xf>
    <x:xf numFmtId="0" fontId="0" fillId="3" borderId="0" xfId="0" applyNumberFormat="1" applyFont="1" applyFill="1" applyBorder="1"/>
    <x:xf numFmtId="0" fontId="0" fillId="3" borderId="1" xfId="0" applyNumberFormat="1" applyFont="1" applyFill="1" applyBorder="1"/>
    <x:xf numFmtId="0" fontId="3" fillId="3" borderId="0" xfId="0" applyNumberFormat="1" applyFont="1" applyFill="1" applyBorder="1"/>
    <x:xf numFmtId="0" fontId="3" fillId="3" borderId="1" xfId="0" applyNumberFormat="1" applyFont="1" applyFill="1" applyBorder="1"/>
    <x:xf numFmtId="0" fontId="3" fillId="3" borderId="0" xfId="0" applyNumberFormat="1" applyFont="1" applyFill="1" applyBorder="1" applyAlignment="1">
      <x:alignment vertical="center"/>
    </x:xf>
    <x:xf numFmtId="0" fontId="3" fillId="3" borderId="1" xfId="0" applyNumberFormat="1" applyFont="1" applyFill="1" applyBorder="1" applyAlignment="1">
      <x:alignment vertical="center"/>
    </x:xf>
    <x:xf numFmtId="0" fontId="0" fillId="4" borderId="0" xfId="0" applyNumberFormat="1" applyFont="1" applyFill="1" applyBorder="1"/>
    <x:xf numFmtId="0" fontId="0" fillId="4" borderId="1" xfId="0" applyNumberFormat="1" applyFont="1" applyFill="1" applyBorder="1"/>
    <x:xf numFmtId="0" fontId="1" fillId="4" borderId="0" xfId="0" applyNumberFormat="1" applyFont="1" applyFill="1" applyBorder="1"/>
    <x:xf numFmtId="0" fontId="1" fillId="4" borderId="1" xfId="0" applyNumberFormat="1" applyFont="1" applyFill="1" applyBorder="1"/>
    <x:xf numFmtId="0" fontId="1" fillId="4" borderId="6" xfId="0" applyNumberFormat="1" applyFont="1" applyFill="1" applyBorder="1"/>
    <x:xf numFmtId="0" fontId="1" fillId="4" borderId="7"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0" fillId="0" borderId="2" xfId="0" applyNumberFormat="1" applyFont="1" applyFill="1" applyBorder="1" applyAlignment="1">
      <x:alignment vertical="center"/>
    </x:xf>
    <x:xf numFmtId="0" fontId="0" fillId="0" borderId="3" xfId="0" applyNumberFormat="1" applyFont="1" applyFill="1" applyBorder="1" applyAlignment="1">
      <x:alignment vertical="center"/>
    </x:xf>
    <x:xf numFmtId="0" fontId="0" fillId="0"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2" xfId="0" applyNumberFormat="1" applyFont="1" applyFill="1" applyBorder="1" applyAlignment="1">
      <x:alignment vertical="center" wrapText="1"/>
    </x:xf>
    <x:xf numFmtId="0" fontId="0" fillId="0" borderId="3" xfId="0" applyNumberFormat="1" applyFont="1" applyFill="1" applyBorder="1" applyAlignment="1">
      <x:alignment vertical="center" wrapText="1"/>
    </x:xf>
    <x:xf numFmtId="0" fontId="0" fillId="5" borderId="2" xfId="0" applyNumberFormat="1" applyFont="1" applyFill="1" applyBorder="1" applyAlignment="1">
      <x:alignment vertical="center"/>
    </x:xf>
    <x:xf numFmtId="0" fontId="0" fillId="5" borderId="3" xfId="0" applyNumberFormat="1" applyFont="1" applyFill="1" applyBorder="1" applyAlignment="1">
      <x:alignment vertical="center"/>
    </x:xf>
    <x:xf numFmtId="0" fontId="4" fillId="5" borderId="2" xfId="0" applyNumberFormat="1" applyFont="1" applyFill="1" applyBorder="1" applyAlignment="1">
      <x:alignment vertical="center"/>
    </x:xf>
    <x:xf numFmtId="0" fontId="4" fillId="5" borderId="3" xfId="0" applyNumberFormat="1" applyFont="1" applyFill="1" applyBorder="1" applyAlignment="1">
      <x:alignment vertical="center"/>
    </x:xf>
    <x:xf numFmtId="200" fontId="4" fillId="5" borderId="2" xfId="0" applyNumberFormat="1" applyFont="1" applyFill="1" applyBorder="1" applyAlignment="1">
      <x:alignment vertical="center"/>
    </x:xf>
    <x:xf numFmtId="200" fontId="4" fillId="5" borderId="3" xfId="0" applyNumberFormat="1" applyFont="1" applyFill="1" applyBorder="1" applyAlignment="1">
      <x:alignment vertical="center"/>
    </x:xf>
    <x:xf numFmtId="200" fontId="4" fillId="5" borderId="2" xfId="0" applyNumberFormat="1" applyFont="1" applyFill="1" applyBorder="1" applyAlignment="1">
      <x:alignment horizontal="center" vertical="center"/>
    </x:xf>
    <x:xf numFmtId="200" fontId="4" fillId="5" borderId="3" xfId="0" applyNumberFormat="1" applyFont="1" applyFill="1" applyBorder="1" applyAlignment="1">
      <x:alignment horizontal="center" vertical="center"/>
    </x:xf>
    <x:xf numFmtId="0" fontId="0" fillId="5" borderId="2" xfId="0" applyNumberFormat="1" applyFont="1" applyFill="1" applyBorder="1" applyAlignment="1">
      <x:alignment vertical="center" wrapText="1"/>
    </x:xf>
    <x:xf numFmtId="0" fontId="0" fillId="5" borderId="3" xfId="0" applyNumberFormat="1" applyFont="1" applyFill="1" applyBorder="1" applyAlignment="1">
      <x:alignment vertical="center" wrapText="1"/>
    </x:xf>
    <x:xf numFmtId="0" fontId="5" fillId="5" borderId="2" xfId="0" applyNumberFormat="1" applyFont="1" applyFill="1" applyBorder="1" applyAlignment="1">
      <x:alignment vertical="center" wrapText="1"/>
    </x:xf>
    <x:xf numFmtId="0" fontId="5" fillId="5" borderId="3" xfId="0" applyNumberFormat="1" applyFont="1" applyFill="1" applyBorder="1" applyAlignment="1">
      <x:alignment vertical="center" wrapText="1"/>
    </x:xf>
    <x:xf numFmtId="200" fontId="5" fillId="5" borderId="2" xfId="0" applyNumberFormat="1" applyFont="1" applyFill="1" applyBorder="1" applyAlignment="1">
      <x:alignment vertical="center" wrapText="1"/>
    </x:xf>
    <x:xf numFmtId="200" fontId="5" fillId="5" borderId="3" xfId="0" applyNumberFormat="1" applyFont="1" applyFill="1" applyBorder="1" applyAlignment="1">
      <x:alignment vertical="center" wrapText="1"/>
    </x:xf>
    <x:xf numFmtId="200" fontId="5" fillId="5" borderId="2" xfId="0" applyNumberFormat="1" applyFont="1" applyFill="1" applyBorder="1" applyAlignment="1">
      <x:alignment horizontal="center" vertical="center" wrapText="1"/>
    </x:xf>
    <x:xf numFmtId="200" fontId="5" fillId="5" borderId="3" xfId="0" applyNumberFormat="1" applyFont="1" applyFill="1" applyBorder="1" applyAlignment="1">
      <x:alignment horizontal="center" vertical="center" wrapText="1"/>
    </x:xf>
    <x:xf numFmtId="0" fontId="0" fillId="6" borderId="0" xfId="0" applyNumberFormat="1" applyFont="1" applyFill="1" applyBorder="1"/>
    <x:xf numFmtId="0" fontId="0" fillId="6" borderId="1" xfId="0" applyNumberFormat="1" applyFont="1" applyFill="1" applyBorder="1"/>
    <x:xf numFmtId="0" fontId="6" fillId="6" borderId="0" xfId="0" applyNumberFormat="1" applyFont="1" applyFill="1" applyBorder="1"/>
    <x:xf numFmtId="0" fontId="6" fillId="6" borderId="1" xfId="0" applyNumberFormat="1" applyFont="1" applyFill="1" applyBorder="1"/>
    <x:xf numFmtId="0" fontId="0" fillId="7" borderId="0" xfId="0" applyNumberFormat="1" applyFont="1" applyFill="1" applyBorder="1"/>
    <x:xf numFmtId="0" fontId="0" fillId="7" borderId="1" xfId="0" applyNumberFormat="1" applyFont="1" applyFill="1" applyBorder="1"/>
    <x:xf numFmtId="0" fontId="7" fillId="7" borderId="0" xfId="0" applyNumberFormat="1" applyFont="1" applyFill="1" applyBorder="1"/>
    <x:xf numFmtId="0" fontId="7" fillId="7" borderId="1" xfId="0" applyNumberFormat="1" applyFont="1" applyFill="1" applyBorder="1"/>
    <x:xf numFmtId="0" fontId="7" fillId="7" borderId="8" xfId="0" applyNumberFormat="1" applyFont="1" applyFill="1" applyBorder="1"/>
    <x:xf numFmtId="0" fontId="7" fillId="7" borderId="9" xfId="0" applyNumberFormat="1" applyFont="1" applyFill="1" applyBorder="1"/>
    <x:xf numFmtId="0" fontId="7" fillId="7" borderId="10" xfId="0" applyNumberFormat="1" applyFont="1" applyFill="1" applyBorder="1"/>
    <x:xf numFmtId="0" fontId="7" fillId="7" borderId="11" xfId="0" applyNumberFormat="1" applyFont="1" applyFill="1" applyBorder="1"/>
    <x:xf numFmtId="0" fontId="7" fillId="7" borderId="12" xfId="0" applyNumberFormat="1" applyFont="1" applyFill="1" applyBorder="1"/>
    <x:xf numFmtId="0" fontId="7" fillId="7" borderId="13" xfId="0" applyNumberFormat="1" applyFont="1" applyFill="1" applyBorder="1"/>
    <x:xf numFmtId="0" fontId="7" fillId="7" borderId="14" xfId="0" applyNumberFormat="1" applyFont="1" applyFill="1" applyBorder="1"/>
    <x:xf numFmtId="0" fontId="7" fillId="7" borderId="15" xfId="0" applyNumberFormat="1" applyFont="1" applyFill="1" applyBorder="1"/>
    <x:xf numFmtId="0" fontId="7" fillId="7" borderId="16" xfId="0" applyNumberFormat="1" applyFont="1" applyFill="1" applyBorder="1"/>
    <x:xf numFmtId="0" fontId="7" fillId="7" borderId="17" xfId="0" applyNumberFormat="1" applyFont="1" applyFill="1" applyBorder="1"/>
    <x:xf numFmtId="0" fontId="7" fillId="7" borderId="18" xfId="0" applyNumberFormat="1" applyFont="1" applyFill="1" applyBorder="1"/>
    <x:xf numFmtId="0" fontId="7" fillId="7" borderId="19" xfId="0" applyNumberFormat="1" applyFont="1" applyFill="1" applyBorder="1"/>
    <x:xf numFmtId="0" fontId="7" fillId="7" borderId="8" xfId="0" applyNumberFormat="1" applyFont="1" applyFill="1" applyBorder="1" applyAlignment="1">
      <x:alignment wrapText="1"/>
    </x:xf>
    <x:xf numFmtId="0" fontId="7" fillId="7" borderId="9" xfId="0" applyNumberFormat="1" applyFont="1" applyFill="1" applyBorder="1" applyAlignment="1">
      <x:alignment wrapText="1"/>
    </x:xf>
    <x:xf numFmtId="0" fontId="7" fillId="7" borderId="10" xfId="0" applyNumberFormat="1" applyFont="1" applyFill="1" applyBorder="1" applyAlignment="1">
      <x:alignment wrapText="1"/>
    </x:xf>
    <x:xf numFmtId="0" fontId="7" fillId="7" borderId="11" xfId="0" applyNumberFormat="1" applyFont="1" applyFill="1" applyBorder="1" applyAlignment="1">
      <x:alignment wrapText="1"/>
    </x:xf>
    <x:xf numFmtId="0" fontId="7" fillId="7" borderId="12" xfId="0" applyNumberFormat="1" applyFont="1" applyFill="1" applyBorder="1" applyAlignment="1">
      <x:alignment wrapText="1"/>
    </x:xf>
    <x:xf numFmtId="0" fontId="7" fillId="7" borderId="13" xfId="0" applyNumberFormat="1" applyFont="1" applyFill="1" applyBorder="1" applyAlignment="1">
      <x:alignment wrapText="1"/>
    </x:xf>
    <x:xf numFmtId="0" fontId="7" fillId="7" borderId="14" xfId="0" applyNumberFormat="1" applyFont="1" applyFill="1" applyBorder="1" applyAlignment="1">
      <x:alignment wrapText="1"/>
    </x:xf>
    <x:xf numFmtId="0" fontId="7" fillId="7" borderId="15" xfId="0" applyNumberFormat="1" applyFont="1" applyFill="1" applyBorder="1" applyAlignment="1">
      <x:alignment wrapText="1"/>
    </x:xf>
    <x:xf numFmtId="0" fontId="7" fillId="7" borderId="16" xfId="0" applyNumberFormat="1" applyFont="1" applyFill="1" applyBorder="1" applyAlignment="1">
      <x:alignment wrapText="1"/>
    </x:xf>
    <x:xf numFmtId="0" fontId="7" fillId="7" borderId="17" xfId="0" applyNumberFormat="1" applyFont="1" applyFill="1" applyBorder="1" applyAlignment="1">
      <x:alignment wrapText="1"/>
    </x:xf>
    <x:xf numFmtId="0" fontId="7" fillId="7" borderId="18" xfId="0" applyNumberFormat="1" applyFont="1" applyFill="1" applyBorder="1" applyAlignment="1">
      <x:alignment wrapText="1"/>
    </x:xf>
    <x:xf numFmtId="0" fontId="7" fillId="7" borderId="19" xfId="0" applyNumberFormat="1" applyFont="1" applyFill="1" applyBorder="1" applyAlignment="1">
      <x:alignment wrapText="1"/>
    </x:xf>
    <x:xf numFmtId="0" fontId="7" fillId="7" borderId="8" xfId="0" applyNumberFormat="1" applyFont="1" applyFill="1" applyBorder="1" applyAlignment="1">
      <x:alignment vertical="center" wrapText="1"/>
    </x:xf>
    <x:xf numFmtId="0" fontId="7" fillId="7" borderId="9" xfId="0" applyNumberFormat="1" applyFont="1" applyFill="1" applyBorder="1" applyAlignment="1">
      <x:alignment vertical="center" wrapText="1"/>
    </x:xf>
    <x:xf numFmtId="0" fontId="7" fillId="7" borderId="10" xfId="0" applyNumberFormat="1" applyFont="1" applyFill="1" applyBorder="1" applyAlignment="1">
      <x:alignment vertical="center" wrapText="1"/>
    </x:xf>
    <x:xf numFmtId="0" fontId="7" fillId="7" borderId="11" xfId="0" applyNumberFormat="1" applyFont="1" applyFill="1" applyBorder="1" applyAlignment="1">
      <x:alignment vertical="center" wrapText="1"/>
    </x:xf>
    <x:xf numFmtId="0" fontId="7" fillId="7" borderId="12" xfId="0" applyNumberFormat="1" applyFont="1" applyFill="1" applyBorder="1" applyAlignment="1">
      <x:alignment vertical="center" wrapText="1"/>
    </x:xf>
    <x:xf numFmtId="0" fontId="7" fillId="7" borderId="13" xfId="0" applyNumberFormat="1" applyFont="1" applyFill="1" applyBorder="1" applyAlignment="1">
      <x:alignment vertical="center" wrapText="1"/>
    </x:xf>
  </x:cellXfs>
  <x:cellStyles count="1">
    <x:cellStyle name="Normal" xfId="0"/>
  </x:cellStyles>
  <x:dxfs count="5">
    <x:dxf>
      <x:font>
        <x:b/>
        <x:color rgb="FF17663A"/>
      </x:font>
      <x:fill>
        <x:patternFill patternType="solid">
          <x:bgColor rgb="FFDDF4E7"/>
        </x:patternFill>
      </x:fill>
    </x:dxf>
    <x:dxf>
      <x:font>
        <x:b/>
        <x:color rgb="FF155B89"/>
      </x:font>
      <x:fill>
        <x:patternFill patternType="solid">
          <x:bgColor rgb="FFDCEFFC"/>
        </x:patternFill>
      </x:fill>
    </x:dxf>
    <x:dxf>
      <x:font>
        <x:b/>
        <x:color rgb="FF5B3B88"/>
      </x:font>
      <x:fill>
        <x:patternFill patternType="solid">
          <x:bgColor rgb="FFEEE7FA"/>
        </x:patternFill>
      </x:fill>
    </x:dxf>
    <x:dxf>
      <x:font>
        <x:b/>
        <x:color rgb="FF7A5600"/>
      </x:font>
      <x:fill>
        <x:patternFill patternType="solid">
          <x:bgColor rgb="FFFFF1C7"/>
        </x:patternFill>
      </x:fill>
    </x:dxf>
    <x:dxf>
      <x:font>
        <x:b/>
        <x:color rgb="FFA12D28"/>
      </x:font>
      <x:fill>
        <x:patternFill patternType="solid">
          <x:bgColor rgb="FFFDE2E1"/>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151f338e9914dec" /><Relationship Type="http://schemas.openxmlformats.org/officeDocument/2006/relationships/theme" Target="/xl/theme/theme1.xml" Id="Ra1d5a24128a94077" /><Relationship Type="http://schemas.openxmlformats.org/officeDocument/2006/relationships/sharedStrings" Target="/xl/sharedStrings.xml" Id="Rd528212999b849fb" /><Relationship Type="http://schemas.openxmlformats.org/officeDocument/2006/relationships/worksheet" Target="/xl/worksheets/sheet1.xml" Id="R0c4ce6cd385b45e3" /><Relationship Type="http://schemas.openxmlformats.org/officeDocument/2006/relationships/worksheet" Target="/xl/worksheets/sheet2.xml" Id="R153008a11a2a48f1" /></Relationships>
</file>

<file path=xl/tables/table1.xml><?xml version="1.0" encoding="utf-8"?>
<x:table xmlns:x="http://schemas.openxmlformats.org/spreadsheetml/2006/main" id="1" name="SeoIssueRegister" displayName="SeoIssueRegister" ref="A1:J39" headerRowCount="1" totalsRowCount="0" totalsRowShown="0">
  <x:autoFilter ref="A1:J39"/>
  <x:tableColumns count="10">
    <x:tableColumn id="1" name="Issue Name"/>
    <x:tableColumn id="2" name="Issue Type"/>
    <x:tableColumn id="3" name="Issue Priority"/>
    <x:tableColumn id="4" name="URLs"/>
    <x:tableColumn id="5" name="% of Total"/>
    <x:tableColumn id="6" name="Description"/>
    <x:tableColumn id="7" name="How To Fix"/>
    <x:tableColumn id="8" name="Resolution Status"/>
    <x:tableColumn id="9" name="Implemented Resolution"/>
    <x:tableColumn id="10" name="Verification / Follow-up"/>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8539c74c25f4c8e" /></Relationships>
</file>

<file path=xl/worksheets/sheet1.xml><?xml version="1.0" encoding="utf-8"?>
<x:worksheet xmlns:x="http://schemas.openxmlformats.org/spreadsheetml/2006/main">
  <x:sheetViews>
    <x:sheetView showGridLines="0" workbookViewId="0"/>
  </x:sheetViews>
  <x:sheetFormatPr defaultRowHeight="15"/>
  <x:cols>
    <x:col min="1" max="1" width="40" hidden="0" customWidth="1"/>
    <x:col min="2" max="2" width="15" hidden="0" customWidth="1"/>
    <x:col min="3" max="3" width="15" hidden="0" customWidth="1"/>
    <x:col min="4" max="4" width="12" hidden="0" customWidth="1"/>
    <x:col min="5" max="5" width="12" hidden="0" customWidth="1"/>
    <x:col min="6" max="6" width="58" hidden="0" customWidth="1"/>
    <x:col min="7" max="7" width="58" hidden="0" customWidth="1"/>
    <x:col min="8" max="8" width="22" hidden="0" customWidth="1"/>
    <x:col min="9" max="9" width="56" hidden="0" customWidth="1"/>
    <x:col min="10" max="10" width="56" hidden="0" customWidth="1"/>
  </x:cols>
  <x:sheetData>
    <x:row r="1" ht="34" customHeight="1">
      <x:c r="A1" s="10" t="str">
        <x:v>Issue Name</x:v>
      </x:c>
      <x:c r="B1" s="10" t="str">
        <x:v>Issue Type</x:v>
      </x:c>
      <x:c r="C1" s="10" t="str">
        <x:v>Issue Priority</x:v>
      </x:c>
      <x:c r="D1" s="10" t="str">
        <x:v>URLs</x:v>
      </x:c>
      <x:c r="E1" s="10" t="str">
        <x:v>% of Total</x:v>
      </x:c>
      <x:c r="F1" s="10" t="str">
        <x:v>Description</x:v>
      </x:c>
      <x:c r="G1" s="10" t="str">
        <x:v>How To Fix</x:v>
      </x:c>
      <x:c r="H1" s="10" t="str">
        <x:v>Resolution Status</x:v>
      </x:c>
      <x:c r="I1" s="10" t="str">
        <x:v>Implemented Resolution</x:v>
      </x:c>
      <x:c r="J1" s="10" t="str">
        <x:v>Verification / Follow-up</x:v>
      </x:c>
    </x:row>
    <x:row r="2" ht="74" customHeight="1">
      <x:c r="A2" s="16" t="str">
        <x:v>Response Codes: Internal Client Error (4xx)</x:v>
      </x:c>
      <x:c r="B2" s="16" t="str">
        <x:v>Issue</x:v>
      </x:c>
      <x:c r="C2" s="16" t="str">
        <x:v>High</x:v>
      </x:c>
      <x:c r="D2" s="18" t="str">
        <x:v>11</x:v>
      </x:c>
      <x:c r="E2" s="20" t="str">
        <x:v>2.200</x:v>
      </x:c>
      <x:c r="F2" s="16" t="str">
        <x:v>Internal URLs with a client-side error. This indicates a problem occurred with the URL request and can include responses such as 400 bad request, 403 Forbidden, 404 Page Not Found, 410 Removed, 429 Too Many Requests and more. A 404 'Page Not Found' is the most common, and often referred to as a broken link. View URLs that link to errors using the lower 'inlinks' tab and export them in bulk via 'Bulk Export &gt; Response Codes &gt; Internal &gt; Client Error (4xx) inlinks'.</x:v>
      </x:c>
      <x:c r="G2" s="16" t="str">
        <x:v>All links on a website should ideally resolve to 200 'OK' URLs. Errors such as a 404 or 410 should be updated to their correct locations, removed and redirected where appropriate. A 403 forbidden error occurs when a web server denies access to the SEO Spider's request and can often be resolved by switching the user-agent to Chrome via 'Config &gt; User-Agent' and crawling again.</x:v>
      </x:c>
      <x:c r="H2" s="16" t="str">
        <x:v>Verified clean</x:v>
      </x:c>
      <x:c r="I2" s="16" t="str">
        <x:v>Re-crawled the current site and canonical sitemap/link set; no broken internal URLs were found.</x:v>
      </x:c>
      <x:c r="J2" s="16" t="str">
        <x:v>Live redirect/link checker: 1,155 URLs checked, 0 broken, 0 request errors.</x:v>
      </x:c>
    </x:row>
    <x:row r="3" ht="74" customHeight="1">
      <x:c r="A3" s="16" t="str">
        <x:v>Meta Description: Below 70 Characters</x:v>
      </x:c>
      <x:c r="B3" s="16" t="str">
        <x:v>Opportunity</x:v>
      </x:c>
      <x:c r="C3" s="16" t="str">
        <x:v>Low</x:v>
      </x:c>
      <x:c r="D3" s="18" t="str">
        <x:v>34</x:v>
      </x:c>
      <x:c r="E3" s="20" t="str">
        <x:v>7.470</x:v>
      </x:c>
      <x:c r="F3" s="16" t="str">
        <x:v>Pages which have meta descriptions below the configured limit. This isn't strictly an issue, but an opportunity. There is additional room to communicate benefits, USPs or call to actions.</x:v>
      </x:c>
      <x:c r="G3" s="16" t="str">
        <x:v>Consider updating the meta description to take advantage of the space left to include additional benefits, USPs or call to actions to improve click through rates (CTR).</x:v>
      </x:c>
      <x:c r="H3" s="16" t="str">
        <x:v>Editorial opportunity</x:v>
      </x:c>
      <x:c r="I3" s="16" t="str">
        <x:v>Retained concise Japanese and Simplified Chinese snippets where Western character counts understate displayed meaning.</x:v>
      </x:c>
      <x:c r="J3" s="16" t="str">
        <x:v>Build verifier reports 33 short descriptions, concentrated in CJK pages; no description is missing.</x:v>
      </x:c>
    </x:row>
    <x:row r="4" ht="74" customHeight="1">
      <x:c r="A4" s="16" t="str">
        <x:v>Response Codes: Internal Redirection (Meta Refresh)</x:v>
      </x:c>
      <x:c r="B4" s="16" t="str">
        <x:v>Warning</x:v>
      </x:c>
      <x:c r="C4" s="16" t="str">
        <x:v>Low</x:v>
      </x:c>
      <x:c r="D4" s="18" t="str">
        <x:v>1</x:v>
      </x:c>
      <x:c r="E4" s="20" t="str">
        <x:v>0.200</x:v>
      </x:c>
      <x:c r="F4" s="16" t="str">
        <x:v>Internal URLs with a meta refresh. This is a client-side redirect which instructs the browser to 'refresh' to a URL with a specific time. The target and time can be seen in the 'Meta Refresh' column in the Internal tab. 0 seconds is seen as a permanent redirect by search engines.</x:v>
      </x:c>
      <x:c r="G4" s="16" t="str">
        <x:v>Ideally server-side redirects should be used for redirection and all internal links would be to canonical resolving URLs, and avoid linking to URLs that redirect. This reduces latency of redirect hops for users, and enhanced efficiency for search engines.</x:v>
      </x:c>
      <x:c r="H4" s="16" t="str">
        <x:v>Fixed</x:v>
      </x:c>
      <x:c r="I4" s="16" t="str">
        <x:v>Removed the conflicting contact redirect path and made localized contact pages canonical server-rendered pages.</x:v>
      </x:c>
      <x:c r="J4" s="16" t="str">
        <x:v>Production build contains /en/contact/ and five translated contact pages; redirect handling is server-side.</x:v>
      </x:c>
    </x:row>
    <x:row r="5" ht="74" customHeight="1">
      <x:c r="A5" s="16" t="str">
        <x:v>H2: Over 70 Characters</x:v>
      </x:c>
      <x:c r="B5" s="16" t="str">
        <x:v>Opportunity</x:v>
      </x:c>
      <x:c r="C5" s="16" t="str">
        <x:v>Low</x:v>
      </x:c>
      <x:c r="D5" s="18" t="str">
        <x:v>4</x:v>
      </x:c>
      <x:c r="E5" s="20" t="str">
        <x:v>0.880</x:v>
      </x:c>
      <x:c r="F5" s="16" t="str">
        <x:v>Pages which have &lt;h2&gt;s over the configured limit. There is no hard limit for characters in an &lt;h2&gt;, however they should be clear and concise for users and long headings might be less helpful</x:v>
      </x:c>
      <x:c r="G5" s="16" t="str">
        <x:v>Write concise &lt;h2&gt;s for users, including target keywords where natural for users - without keyword stuffing.</x:v>
      </x:c>
      <x:c r="H5" s="16" t="str">
        <x:v>Fixed</x:v>
      </x:c>
      <x:c r="I5" s="16" t="str">
        <x:v>Validated decoded heading text and retained concise localized headings.</x:v>
      </x:c>
      <x:c r="J5" s="16" t="str">
        <x:v>Build verifier: 0 H2 headings over 70 decoded characters.</x:v>
      </x:c>
    </x:row>
    <x:row r="6" ht="74" customHeight="1">
      <x:c r="A6" s="16" t="str">
        <x:v>Directives: Noindex</x:v>
      </x:c>
      <x:c r="B6" s="16" t="str">
        <x:v>Warning</x:v>
      </x:c>
      <x:c r="C6" s="16" t="str">
        <x:v>High</x:v>
      </x:c>
      <x:c r="D6" s="18" t="str">
        <x:v>1</x:v>
      </x:c>
      <x:c r="E6" s="20" t="str">
        <x:v>0.210</x:v>
      </x:c>
      <x:c r="F6" s="16" t="str">
        <x:v>URLs containing a 'noindex' directive in either a robots meta tag or X-Robots-Tag in the HTTP header. This instructs the search engines not to index the page. The page will still be crawled (to see the directive), but it will then be dropped from the index.</x:v>
      </x:c>
      <x:c r="G6" s="16" t="str">
        <x:v>URLs with a 'noindex' should be reviewed carefully to ensure they are correct and shouldn't be indexed. If these pages should be indexed, then the 'noindex' directive should be removed.</x:v>
      </x:c>
      <x:c r="H6" s="16" t="str">
        <x:v>Reviewed / intentional</x:v>
      </x:c>
      <x:c r="I6" s="16" t="str">
        <x:v>Kept noindex on the not-found page so error content is not indexed.</x:v>
      </x:c>
      <x:c r="J6" s="16" t="str">
        <x:v>The only intended noindex target is the 404 page.</x:v>
      </x:c>
    </x:row>
    <x:row r="7" ht="74" customHeight="1">
      <x:c r="A7" s="16" t="str">
        <x:v>Security: Missing X-Frame-Options Header</x:v>
      </x:c>
      <x:c r="B7" s="16" t="str">
        <x:v>Warning</x:v>
      </x:c>
      <x:c r="C7" s="16" t="str">
        <x:v>Low</x:v>
      </x:c>
      <x:c r="D7" s="18" t="str">
        <x:v>2</x:v>
      </x:c>
      <x:c r="E7" s="20" t="str">
        <x:v>0.410</x:v>
      </x:c>
      <x:c r="F7" s="16" t="str">
        <x:v>URLs missing an X-Frame-Options response header with a 'DENY' or 'SAMEORIGIN' value. This instructs the browser not to render a page within a frame, iframe, embed or object. This helps avoid 'clickjacking' attacks, where your content is displayed on another web page that is controlled by an attacker.</x:v>
      </x:c>
      <x:c r="G7" s="16" t="str">
        <x:v>To minimise security issues, the X-Frame-Options response header should be supplied with a 'DENY' or 'SAMEORIGIN' value.</x:v>
      </x:c>
      <x:c r="H7" s="16" t="str">
        <x:v>Fixed</x:v>
      </x:c>
      <x:c r="I7" s="16" t="str">
        <x:v>Added SAMEORIGIN globally and to generated redirect responses.</x:v>
      </x:c>
      <x:c r="J7" s="16" t="str">
        <x:v>public/_headers and Worker redirects both emit X-Frame-Options.</x:v>
      </x:c>
    </x:row>
    <x:row r="8" ht="74" customHeight="1">
      <x:c r="A8" s="16" t="str">
        <x:v>URL: Uppercase</x:v>
      </x:c>
      <x:c r="B8" s="16" t="str">
        <x:v>Warning</x:v>
      </x:c>
      <x:c r="C8" s="16" t="str">
        <x:v>Low</x:v>
      </x:c>
      <x:c r="D8" s="18" t="str">
        <x:v>66</x:v>
      </x:c>
      <x:c r="E8" s="20" t="str">
        <x:v>13.500</x:v>
      </x:c>
      <x:c r="F8" s="16" t="str">
        <x:v>URLs that have uppercase characters within them. URLs are case sensitive, so as best practice generally URLs should be lowercase, to avoid any potential mix ups and duplicate URLs.</x:v>
      </x:c>
      <x:c r="G8" s="16" t="str">
        <x:v>Ideally lowercase characters should be used for URLs only. However, changing URLs is a big decision, and often it's not worth changing them for SEO purposes alone. If URLs are changed, then appropriate 301 redirects must be implemented.</x:v>
      </x:c>
      <x:c r="H8" s="16" t="str">
        <x:v>Reviewed / intentional</x:v>
      </x:c>
      <x:c r="I8" s="16" t="str">
        <x:v>Kept the standards-compliant BCP 47 locale code zh-Hans; changing it would create unnecessary migrations.</x:v>
      </x:c>
      <x:c r="J8" s="16" t="str">
        <x:v>Uppercase characters belong to the locale identifier, not duplicate page slugs.</x:v>
      </x:c>
    </x:row>
    <x:row r="9" ht="74" customHeight="1">
      <x:c r="A9" s="16" t="str">
        <x:v>URL: Non ASCII Characters</x:v>
      </x:c>
      <x:c r="B9" s="16" t="str">
        <x:v>Warning</x:v>
      </x:c>
      <x:c r="C9" s="16" t="str">
        <x:v>Low</x:v>
      </x:c>
      <x:c r="D9" s="18" t="str">
        <x:v>88</x:v>
      </x:c>
      <x:c r="E9" s="20" t="str">
        <x:v>18.000</x:v>
      </x:c>
      <x:c r="F9" s="16" t="str">
        <x:v>URLs with characters outside of the ASCII character-set. Standards outline that URLs can only be sent using the ASCII character-set and some users may have difficulty with subtleties of characters outside this range.</x:v>
      </x:c>
      <x:c r="G9" s="16" t="str">
        <x:v>URLs should be converted into a valid ASCII format, by encoding links to the URL with safe characters (made up of % followed by two hexadecimal digits). Today browsers and the search engines are largely able to transform URLs accurately.</x:v>
      </x:c>
      <x:c r="H9" s="16" t="str">
        <x:v>Reviewed / intentional</x:v>
      </x:c>
      <x:c r="I9" s="16" t="str">
        <x:v>Kept human-readable translated Japanese and Chinese slugs; browsers and crawlers safely percent-encode them.</x:v>
      </x:c>
      <x:c r="J9" s="16" t="str">
        <x:v>Navigation now decodes encoded slugs before locale resolution, preventing broken language-switch links.</x:v>
      </x:c>
    </x:row>
    <x:row r="10" ht="74" customHeight="1">
      <x:c r="A10" s="16" t="str">
        <x:v>URL: Parameters</x:v>
      </x:c>
      <x:c r="B10" s="16" t="str">
        <x:v>Warning</x:v>
      </x:c>
      <x:c r="C10" s="16" t="str">
        <x:v>Low</x:v>
      </x:c>
      <x:c r="D10" s="18" t="str">
        <x:v>3</x:v>
      </x:c>
      <x:c r="E10" s="20" t="str">
        <x:v>0.610</x:v>
      </x:c>
      <x:c r="F10" s="16" t="str">
        <x:v>URLs that include parameters such as '?' or '&amp;'. This isn't an issue for Google or other search engines to crawl unless at significant scale, but it's recommended to limit the number of parameters in a URL which can be complicated for users, and can be a sign of low value-add URLs.</x:v>
      </x:c>
      <x:c r="G10" s="16" t="str">
        <x:v>Where possible use a static URL structure without parameters for key indexable URLs. However, changing URLs is a big decision, and often it's not worth changing them for SEO purposes alone. If URLs are changed, then appropriate 301 redirects must be implemented.</x:v>
      </x:c>
      <x:c r="H10" s="16" t="str">
        <x:v>Reviewed / intentional</x:v>
      </x:c>
      <x:c r="I10" s="16" t="str">
        <x:v>Kept functional analytics, Open Graph, and application parameters while canonical tags point to clean URLs.</x:v>
      </x:c>
      <x:c r="J10" s="16" t="str">
        <x:v>Build verifier: 0 canonical mismatches across 413 indexable pages.</x:v>
      </x:c>
    </x:row>
    <x:row r="11" ht="74" customHeight="1">
      <x:c r="A11" s="16" t="str">
        <x:v>Meta Description: Over 155 Characters</x:v>
      </x:c>
      <x:c r="B11" s="16" t="str">
        <x:v>Opportunity</x:v>
      </x:c>
      <x:c r="C11" s="16" t="str">
        <x:v>Low</x:v>
      </x:c>
      <x:c r="D11" s="18" t="str">
        <x:v>58</x:v>
      </x:c>
      <x:c r="E11" s="20" t="str">
        <x:v>12.750</x:v>
      </x:c>
      <x:c r="F11" s="16" t="str">
        <x:v>Pages which have meta descriptions over the configured limit. Characters over this limit might be truncated in Google's search results.</x:v>
      </x:c>
      <x:c r="G11" s="16" t="str">
        <x:v>Write concise meta descriptions to ensure important words are not truncated in the search results, and not visible to users.</x:v>
      </x:c>
      <x:c r="H11" s="16" t="str">
        <x:v>Fixed</x:v>
      </x:c>
      <x:c r="I11" s="16" t="str">
        <x:v>Sanitized HTML-like text and clamped descriptions at word boundaries to 155 characters.</x:v>
      </x:c>
      <x:c r="J11" s="16" t="str">
        <x:v>Build verifier: 0 descriptions over 155 characters and 0 missing descriptions.</x:v>
      </x:c>
    </x:row>
    <x:row r="12" ht="74" customHeight="1">
      <x:c r="A12" s="16" t="str">
        <x:v>Page Titles: Same as H1</x:v>
      </x:c>
      <x:c r="B12" s="16" t="str">
        <x:v>Opportunity</x:v>
      </x:c>
      <x:c r="C12" s="16" t="str">
        <x:v>Low</x:v>
      </x:c>
      <x:c r="D12" s="18" t="str">
        <x:v>3</x:v>
      </x:c>
      <x:c r="E12" s="20" t="str">
        <x:v>0.660</x:v>
      </x:c>
      <x:c r="F12" s="16" t="str">
        <x:v>Page titles which match the h1 on the page exactly. This is not necessarily an issue, but may point to a potential opportunity to target alternative keywords, synonyms, or related key phrases.</x:v>
      </x:c>
      <x:c r="G12" s="16" t="str">
        <x:v>This is not necessarily an issue, but may point to a potential opportunity to target alternative keywords, synonyms, or related key phrases.</x:v>
      </x:c>
      <x:c r="H12" s="16" t="str">
        <x:v>Reviewed / intentional</x:v>
      </x:c>
      <x:c r="I12" s="16" t="str">
        <x:v>Kept exact matches where the page title and visible topic are naturally identical.</x:v>
      </x:c>
      <x:c r="J12" s="16" t="str">
        <x:v>This Screaming Frog filter is an opportunity, not an indexing defect.</x:v>
      </x:c>
    </x:row>
    <x:row r="13" ht="74" customHeight="1">
      <x:c r="A13" s="16" t="str">
        <x:v>H2: Duplicate</x:v>
      </x:c>
      <x:c r="B13" s="16" t="str">
        <x:v>Opportunity</x:v>
      </x:c>
      <x:c r="C13" s="16" t="str">
        <x:v>Low</x:v>
      </x:c>
      <x:c r="D13" s="18" t="str">
        <x:v>213</x:v>
      </x:c>
      <x:c r="E13" s="20" t="str">
        <x:v>46.810</x:v>
      </x:c>
      <x:c r="F13" s="16" t="str">
        <x:v>Pages which have duplicate &lt;h2&gt;s. It's important to have distinct, unique and useful pages. If every page has the same &lt;h2&gt;, then it can make it more challenging for users and the search engines to understand one page from another.</x:v>
      </x:c>
      <x:c r="G13" s="16" t="str">
        <x:v>Update duplicate &lt;h2&gt;s as necessary, so important pages contain a unique and descriptive &lt;h2&gt; for users and search engines.  If these are duplicate pages, then fix the duplicated pages by linking to a single version, and redirect or use canonicals where appropriate.</x:v>
      </x:c>
      <x:c r="H13" s="16" t="str">
        <x:v>Reviewed / intentional</x:v>
      </x:c>
      <x:c r="I13" s="16" t="str">
        <x:v>Kept shared structural headings such as FAQ and related tools where they accurately label repeated template sections.</x:v>
      </x:c>
      <x:c r="J13" s="16" t="str">
        <x:v>Unique page titles, descriptions, and H1s now distinguish page intent; shared H2 labels remain semantic.</x:v>
      </x:c>
    </x:row>
    <x:row r="14" ht="74" customHeight="1">
      <x:c r="A14" s="16" t="str">
        <x:v>Page Titles: Over 561 Pixels</x:v>
      </x:c>
      <x:c r="B14" s="16" t="str">
        <x:v>Opportunity</x:v>
      </x:c>
      <x:c r="C14" s="16" t="str">
        <x:v>Medium</x:v>
      </x:c>
      <x:c r="D14" s="18" t="str">
        <x:v>158</x:v>
      </x:c>
      <x:c r="E14" s="20" t="str">
        <x:v>34.730</x:v>
      </x:c>
      <x:c r="F14" s="16" t="str">
        <x:v>Pages which have page titles over Google's estimated pixel length limit for titles in search results. Google snippet length is actually based upon pixels limits, rather than a character length. The SEO Spider tries to match the latest pixel truncation points in the SERPs, but it is an approximation and Google adjusts them frequently.</x:v>
      </x:c>
      <x:c r="G14" s="16" t="str">
        <x:v>Write concise page titles to ensure important words are not truncated in the search results, not visible to users and potentially weighted less in scoring.</x:v>
      </x:c>
      <x:c r="H14" s="16" t="str">
        <x:v>Fixed</x:v>
      </x:c>
      <x:c r="I14" s="16" t="str">
        <x:v>Applied a global 60-character title guard and removes the trailing brand first when needed.</x:v>
      </x:c>
      <x:c r="J14" s="16" t="str">
        <x:v>Build verifier: 0 titles over 60 characters; production output is repaired during postbuild.</x:v>
      </x:c>
    </x:row>
    <x:row r="15" ht="74" customHeight="1">
      <x:c r="A15" s="16" t="str">
        <x:v>Page Titles: Duplicate</x:v>
      </x:c>
      <x:c r="B15" s="16" t="str">
        <x:v>Opportunity</x:v>
      </x:c>
      <x:c r="C15" s="16" t="str">
        <x:v>Medium</x:v>
      </x:c>
      <x:c r="D15" s="18" t="str">
        <x:v>22</x:v>
      </x:c>
      <x:c r="E15" s="20" t="str">
        <x:v>4.840</x:v>
      </x:c>
      <x:c r="F15" s="16" t="str">
        <x:v>Pages which have duplicate page titles. It's really important to have distinct and unique page titles for every page. If every page has the same page title, then it can make it more challenging for users and the search engines to understand one page from another.</x:v>
      </x:c>
      <x:c r="G15" s="16" t="str">
        <x:v>Update duplicate page titles as necessary, so each page contains a unique and descriptive title for users and search engines. If these are duplicate pages, then fix the duplicated pages by linking to a single version, and redirect or use canonicals where appropriate.</x:v>
      </x:c>
      <x:c r="H15" s="16" t="str">
        <x:v>Fixed</x:v>
      </x:c>
      <x:c r="I15" s="16" t="str">
        <x:v>Stopped generating fallback-language copies for untranslated pages and made API page headings language-specific.</x:v>
      </x:c>
      <x:c r="J15" s="16" t="str">
        <x:v>Build verifier: 0 duplicate title groups across 413 indexable pages.</x:v>
      </x:c>
    </x:row>
    <x:row r="16" ht="74" customHeight="1">
      <x:c r="A16" s="16" t="str">
        <x:v>Hreflang: Missing Self Reference</x:v>
      </x:c>
      <x:c r="B16" s="16" t="str">
        <x:v>Warning</x:v>
      </x:c>
      <x:c r="C16" s="16" t="str">
        <x:v>Low</x:v>
      </x:c>
      <x:c r="D16" s="18" t="str">
        <x:v>2</x:v>
      </x:c>
      <x:c r="E16" s="20" t="str">
        <x:v>0.440</x:v>
      </x:c>
      <x:c r="F16" s="16" t="str">
        <x:v>URLs missing their own self referencing rel="alternate" hreflang annotation. It was previously a requirement to have a self-referencing hreflang, but Google has updated their guidelines to say this is optional. It is however good practice and often easier to include a self referencing attribute.</x:v>
      </x:c>
      <x:c r="G16" s="16" t="str">
        <x:v>Consider adding a self referencing rel="alternate" hreflang annotation as Google still describe this as best practice in their documentation.</x:v>
      </x:c>
      <x:c r="H16" s="16" t="str">
        <x:v>Fixed</x:v>
      </x:c>
      <x:c r="I16" s="16" t="str">
        <x:v>Generate hreflang only for explicitly authored locale variants and include the current canonical URL.</x:v>
      </x:c>
      <x:c r="J16" s="16" t="str">
        <x:v>Build verifier: 0 missing hreflang self-references.</x:v>
      </x:c>
    </x:row>
    <x:row r="17" ht="74" customHeight="1">
      <x:c r="A17" s="16" t="str">
        <x:v>Response Codes: Internal Blocked by Robots.txt</x:v>
      </x:c>
      <x:c r="B17" s="16" t="str">
        <x:v>Warning</x:v>
      </x:c>
      <x:c r="C17" s="16" t="str">
        <x:v>High</x:v>
      </x:c>
      <x:c r="D17" s="18" t="str">
        <x:v>3</x:v>
      </x:c>
      <x:c r="E17" s="20" t="str">
        <x:v>0.600</x:v>
      </x:c>
      <x:c r="F17" s="16" t="str">
        <x:v>Internal URLs blocked by the site's robots.txt. This means they cannot be crawled and is a critical issue if you want the page content to be crawled and indexed by search engines. View URLs that link to URLs blocked by robots.txt using the lower 'inlinks' tab and export them in bulk via 'Bulk Export &gt; Response Codes &gt; Inlinks &gt; Blocked by Robots.txt inlinks'.</x:v>
      </x:c>
      <x:c r="G17" s="16" t="str">
        <x:v>Review URLs to ensure they should be disallowed. If they are incorrectly disallowed, then the site's robots.txt should be updated to allow them to be crawled. Consider whether you should be linking internally to these URLs and remove links where appropriate.</x:v>
      </x:c>
      <x:c r="H17" s="16" t="str">
        <x:v>Reviewed / intentional</x:v>
      </x:c>
      <x:c r="I17" s="16" t="str">
        <x:v>Kept private/admin/auth/API surfaces blocked because they are not public search landing pages.</x:v>
      </x:c>
      <x:c r="J17" s="16" t="str">
        <x:v>Robots exclusions protect non-indexable application routes.</x:v>
      </x:c>
    </x:row>
    <x:row r="18" ht="74" customHeight="1">
      <x:c r="A18" s="16" t="str">
        <x:v>Canonicals: Canonicalised</x:v>
      </x:c>
      <x:c r="B18" s="16" t="str">
        <x:v>Warning</x:v>
      </x:c>
      <x:c r="C18" s="16" t="str">
        <x:v>High</x:v>
      </x:c>
      <x:c r="D18" s="18" t="str">
        <x:v>7</x:v>
      </x:c>
      <x:c r="E18" s="20" t="str">
        <x:v>1.540</x:v>
      </x:c>
      <x:c r="F18" s="16" t="str">
        <x:v>Pages that have a canonical to a different URL. The URL is 'canonicalised' to another location. This means the search engines are being instructed to not index the page, and the indexing and linking properties should be consolidated to the URL in the canonical.</x:v>
      </x:c>
      <x:c r="G18" s="16" t="str">
        <x:v>These URLs should be reviewed carefully to ensure the indexing and link signals are being consolidated to the correct URL. In a perfect world, a website wouldn't need to canonicalise any URLs as only canonical versions would be linked to internally on a website, but often they are required due to various circumstances outside of control, and to prevent duplicate content. Update internal links to canonical versions of URLs where possible.</x:v>
      </x:c>
      <x:c r="H18" s="16" t="str">
        <x:v>Fixed</x:v>
      </x:c>
      <x:c r="I18" s="16" t="str">
        <x:v>Removed duplicate locale fallbacks and made localized internal links resolve directly to their canonical destination.</x:v>
      </x:c>
      <x:c r="J18" s="16" t="str">
        <x:v>Build verifier: 0 canonical mismatches; sitemap emits only authored locale variants.</x:v>
      </x:c>
    </x:row>
    <x:row r="19" ht="74" customHeight="1">
      <x:c r="A19" s="16" t="str">
        <x:v>Links: Non-Descriptive Anchor Text In Internal Outlinks</x:v>
      </x:c>
      <x:c r="B19" s="16" t="str">
        <x:v>Opportunity</x:v>
      </x:c>
      <x:c r="C19" s="16" t="str">
        <x:v>Low</x:v>
      </x:c>
      <x:c r="D19" s="18" t="str">
        <x:v>2</x:v>
      </x:c>
      <x:c r="E19" s="20" t="str">
        <x:v>0.440</x:v>
      </x:c>
      <x:c r="F19" s="16" t="str">
        <x:v>Pages that have internal outlinks with anchor text that is not descriptive, such as 'click here' or 'learn more' based upon the preferences under 'Config &gt; Spider &gt; Preferences'. Anchor text is the visible text and words used in hyperlinks that provide users and search engines context about the content of the target page. Internal outlinks with non-descriptive anchor text can be seen in the 'Outlinks' tab, with the 'All Link Types' filter set to 'Hyperlinks', where the 'Anchor Text' column has words such as 'click here', or 'learn more'. Export in bulk via 'Bulk Export &gt; Links &gt; Non-Descriptive Anchor Text In Internal Outlinks'.</x:v>
      </x:c>
      <x:c r="G19" s="16" t="str">
        <x:v>Review the non-descriptive anchor text in outlinks and where appropriate update them to include useful and descriptive anchor text to help provide context to both users and search engines.</x:v>
      </x:c>
      <x:c r="H19" s="16" t="str">
        <x:v>Fixed</x:v>
      </x:c>
      <x:c r="I19" s="16" t="str">
        <x:v>Replaced placeholder feature links with descriptive links to the relevant tools.</x:v>
      </x:c>
      <x:c r="J19" s="16" t="str">
        <x:v>Five feature CTAs now point to named localized tool pages instead of # placeholders.</x:v>
      </x:c>
    </x:row>
    <x:row r="20" ht="74" customHeight="1">
      <x:c r="A20" s="16" t="str">
        <x:v>Security: Missing HSTS Header</x:v>
      </x:c>
      <x:c r="B20" s="16" t="str">
        <x:v>Warning</x:v>
      </x:c>
      <x:c r="C20" s="16" t="str">
        <x:v>Low</x:v>
      </x:c>
      <x:c r="D20" s="18" t="str">
        <x:v>12</x:v>
      </x:c>
      <x:c r="E20" s="20" t="str">
        <x:v>2.450</x:v>
      </x:c>
      <x:c r="F20" s="16" t="str">
        <x:v>URLs that are missing the HSTS response header. The HTTP Strict-Transport-Security response header (HSTS) instructs browsers that it should only be accessed using HTTPS, rather than HTTP. If a website accepts a connection to HTTP, before being redirected to HTTPS, visitors will initially still communicate over HTTP. The HSTS header instructs the browser to never load over HTTP and to automatically convert all requests to HTTPS.</x:v>
      </x:c>
      <x:c r="G20" s="16" t="str">
        <x:v>The HSTS header should be used across all pages to instruct the browser that it should always request pages via HTTPS, rather than HTTP.</x:v>
      </x:c>
      <x:c r="H20" s="16" t="str">
        <x:v>Fixed</x:v>
      </x:c>
      <x:c r="I20" s="16" t="str">
        <x:v>Added HSTS globally and to generated redirect responses.</x:v>
      </x:c>
      <x:c r="J20" s="16" t="str">
        <x:v>Strict-Transport-Security is present in public/_headers and Worker redirect helper.</x:v>
      </x:c>
    </x:row>
    <x:row r="21" ht="74" customHeight="1">
      <x:c r="A21" s="16" t="str">
        <x:v>Security: Bad Content Type</x:v>
      </x:c>
      <x:c r="B21" s="16" t="str">
        <x:v>Warning</x:v>
      </x:c>
      <x:c r="C21" s="16" t="str">
        <x:v>Low</x:v>
      </x:c>
      <x:c r="D21" s="18" t="str">
        <x:v>3</x:v>
      </x:c>
      <x:c r="E21" s="20" t="str">
        <x:v>0.610</x:v>
      </x:c>
      <x:c r="F21" s="16" t="str">
        <x:v>This indicates any URLs where the actual content type does not match the content type set in the header. It also identifies any invalid MIME types used. When the X-Content-Type-Options: nosniff response header is set by the server this is particularly important, as browsers rely on the content type header to correctly process the page. This can cause HTML web pages to be downloaded instead of being rendered when they are served with a MIME type other than text/html for example.</x:v>
      </x:c>
      <x:c r="G21" s="16" t="str">
        <x:v>Analyse URLs identified with a bad content type, and set an accurate MIME type in the content-type header.</x:v>
      </x:c>
      <x:c r="H21" s="16" t="str">
        <x:v>Needs URL export</x:v>
      </x:c>
      <x:c r="I21" s="16" t="str">
        <x:v>No unsafe global MIME override was applied because the summary CSV does not identify the three affected resources.</x:v>
      </x:c>
      <x:c r="J21" s="16" t="str">
        <x:v>Export the URL-level issue rows from Screaming Frog to identify the exact resources; production HTML and new WebP assets use expected types.</x:v>
      </x:c>
    </x:row>
    <x:row r="22" ht="74" customHeight="1">
      <x:c r="A22" s="16" t="str">
        <x:v>Response Codes: Internal Redirection (3xx)</x:v>
      </x:c>
      <x:c r="B22" s="16" t="str">
        <x:v>Warning</x:v>
      </x:c>
      <x:c r="C22" s="16" t="str">
        <x:v>Low</x:v>
      </x:c>
      <x:c r="D22" s="18" t="str">
        <x:v>5</x:v>
      </x:c>
      <x:c r="E22" s="20" t="str">
        <x:v>1.000</x:v>
      </x:c>
      <x:c r="F22" s="16" t="str">
        <x:v>Internal URLs which redirect to another URL. These will include server-side redirects, such as 301 or 302 redirects (and more). View URLs that link to redirects using the lower 'inlinks' tab and export them in bulk via 'Bulk Export &gt; Response Codes &gt; Internal &gt; Redirection (3xx) inlinks'.</x:v>
      </x:c>
      <x:c r="G22" s="16" t="str">
        <x:v>Ideally all internal links would be to canonical resolving URLs, and avoid linking to URLs that redirect. This reduces latency of redirect hops for users, and enhanced efficiency for search engines.</x:v>
      </x:c>
      <x:c r="H22" s="16" t="str">
        <x:v>Fixed</x:v>
      </x:c>
      <x:c r="I22" s="16" t="str">
        <x:v>Updated locale navigation, contact links, feature links, and untranslated-page fallbacks to canonical targets.</x:v>
      </x:c>
      <x:c r="J22" s="16" t="str">
        <x:v>Registry, sitemap, Nav, Footer, and Worker redirect routing now share canonical locale logic.</x:v>
      </x:c>
    </x:row>
    <x:row r="23" ht="74" customHeight="1">
      <x:c r="A23" s="16" t="str">
        <x:v>Security: Missing X-Content-Type-Options Header</x:v>
      </x:c>
      <x:c r="B23" s="16" t="str">
        <x:v>Warning</x:v>
      </x:c>
      <x:c r="C23" s="16" t="str">
        <x:v>Low</x:v>
      </x:c>
      <x:c r="D23" s="18" t="str">
        <x:v>2</x:v>
      </x:c>
      <x:c r="E23" s="20" t="str">
        <x:v>0.410</x:v>
      </x:c>
      <x:c r="F23" s="16" t="str">
        <x:v>URLs that are missing the 'X-Content-Type-Options' response header with a 'nosniff' value. In the absence of a MIME type, browsers may 'sniff' to guess the content type to interpret it correctly for users. However, this can be exploited by attackers who can try and load malicious code, such as JavaScript via an image they have compromised.</x:v>
      </x:c>
      <x:c r="G23" s="16" t="str">
        <x:v>To minimise security issues, the X-Content-Type-Options response header should be supplied and set to 'nosniff'. This instructs browsers to rely only on the Content-Type header and block anything that does not match accurately. This also means the content-type set needs to be accurate.</x:v>
      </x:c>
      <x:c r="H23" s="16" t="str">
        <x:v>Fixed</x:v>
      </x:c>
      <x:c r="I23" s="16" t="str">
        <x:v>Added nosniff globally and to generated redirect responses.</x:v>
      </x:c>
      <x:c r="J23" s="16" t="str">
        <x:v>public/_headers and Worker redirects emit X-Content-Type-Options: nosniff.</x:v>
      </x:c>
    </x:row>
    <x:row r="24" ht="74" customHeight="1">
      <x:c r="A24" s="16" t="str">
        <x:v>Meta Description: Duplicate</x:v>
      </x:c>
      <x:c r="B24" s="16" t="str">
        <x:v>Opportunity</x:v>
      </x:c>
      <x:c r="C24" s="16" t="str">
        <x:v>Low</x:v>
      </x:c>
      <x:c r="D24" s="18" t="str">
        <x:v>22</x:v>
      </x:c>
      <x:c r="E24" s="20" t="str">
        <x:v>4.840</x:v>
      </x:c>
      <x:c r="F24" s="16" t="str">
        <x:v>Pages which have duplicate meta descriptions. It's really important to have distinct and unique meta descriptions that communicate the benefits and purpose of each page. If they are duplicate or irrelevant, then they will be ignored by search engines in their snippets.</x:v>
      </x:c>
      <x:c r="G24" s="16" t="str">
        <x:v>Update duplicate meta descriptions as necessary, so important pages contain a unique and descriptive title for users and search engines. If these are duplicate pages, then fix the duplicated pages by linking to a single version, and redirect or use canonicals where appropriate.</x:v>
      </x:c>
      <x:c r="H24" s="16" t="str">
        <x:v>Fixed</x:v>
      </x:c>
      <x:c r="I24" s="16" t="str">
        <x:v>Removed untranslated duplicate pages and normalized generated metadata.</x:v>
      </x:c>
      <x:c r="J24" s="16" t="str">
        <x:v>Build verifier: 0 duplicate description groups across 413 indexable pages.</x:v>
      </x:c>
    </x:row>
    <x:row r="25" ht="74" customHeight="1">
      <x:c r="A25" s="16" t="str">
        <x:v>Page Titles: Below 30 Characters</x:v>
      </x:c>
      <x:c r="B25" s="16" t="str">
        <x:v>Opportunity</x:v>
      </x:c>
      <x:c r="C25" s="16" t="str">
        <x:v>Medium</x:v>
      </x:c>
      <x:c r="D25" s="18" t="str">
        <x:v>40</x:v>
      </x:c>
      <x:c r="E25" s="20" t="str">
        <x:v>8.790</x:v>
      </x:c>
      <x:c r="F25" s="16" t="str">
        <x:v>Pages which have page titles under the configured limit. This isn't necessarily an issue, but it does indicate there might be room to target additional keywords or communicate your USPs.</x:v>
      </x:c>
      <x:c r="G25" s="16" t="str">
        <x:v>Consider updating the page title to take advantage of the space left to include additional target keywords or USPs.</x:v>
      </x:c>
      <x:c r="H25" s="16" t="str">
        <x:v>Editorial opportunity</x:v>
      </x:c>
      <x:c r="I25" s="16" t="str">
        <x:v>Retained concise Japanese and Simplified Chinese titles where character count is not comparable to Latin-language snippets.</x:v>
      </x:c>
      <x:c r="J25" s="16" t="str">
        <x:v>Build verifier reports 35 short titles, concentrated in CJK pages; every page has a title.</x:v>
      </x:c>
    </x:row>
    <x:row r="26" ht="74" customHeight="1">
      <x:c r="A26" s="16" t="str">
        <x:v>Meta Description: Over 985 Pixels</x:v>
      </x:c>
      <x:c r="B26" s="16" t="str">
        <x:v>Opportunity</x:v>
      </x:c>
      <x:c r="C26" s="16" t="str">
        <x:v>Low</x:v>
      </x:c>
      <x:c r="D26" s="18" t="str">
        <x:v>89</x:v>
      </x:c>
      <x:c r="E26" s="20" t="str">
        <x:v>19.560</x:v>
      </x:c>
      <x:c r="F26" s="16" t="str">
        <x:v>Pages which have meta descriptions over Google's estimated pixel length limit for snippets. Google snippet length is actually based upon pixels limits, rather than a character length. The SEO Spider tries to match the latest pixel truncation points in the SERPs, but it is an approximation and Google adjusts them frequently.</x:v>
      </x:c>
      <x:c r="G26" s="16" t="str">
        <x:v>Write concise meta descriptions to ensure important words are not truncated in the search results, and not visible to users.</x:v>
      </x:c>
      <x:c r="H26" s="16" t="str">
        <x:v>Fixed</x:v>
      </x:c>
      <x:c r="I26" s="16" t="str">
        <x:v>Applied a global 155-character description guard after stripping accidental HTML-like markup.</x:v>
      </x:c>
      <x:c r="J26" s="16" t="str">
        <x:v>Build verifier: 0 descriptions over 155 characters.</x:v>
      </x:c>
    </x:row>
    <x:row r="27" ht="74" customHeight="1">
      <x:c r="A27" s="16" t="str">
        <x:v>H1: Duplicate</x:v>
      </x:c>
      <x:c r="B27" s="16" t="str">
        <x:v>Opportunity</x:v>
      </x:c>
      <x:c r="C27" s="16" t="str">
        <x:v>Low</x:v>
      </x:c>
      <x:c r="D27" s="18" t="str">
        <x:v>34</x:v>
      </x:c>
      <x:c r="E27" s="20" t="str">
        <x:v>7.470</x:v>
      </x:c>
      <x:c r="F27" s="16" t="str">
        <x:v>Pages which have duplicate &lt;h1&gt;s. It's important to have distinct, unique and useful main headings. If every page has the same &lt;h1&gt;, then it can make it more challenging for users and the search engines to understand one page from another.</x:v>
      </x:c>
      <x:c r="G27" s="16" t="str">
        <x:v>Update duplicate &lt;h1&gt;s as necessary, so important pages contain a unique and descriptive &lt;h1&gt; for users and search engines.  If these are duplicate pages, then fix the duplicated pages by linking to a single version, and redirect or use canonicals where appropriate.</x:v>
      </x:c>
      <x:c r="H27" s="16" t="str">
        <x:v>Fixed</x:v>
      </x:c>
      <x:c r="I27" s="16" t="str">
        <x:v>Made the four API landing-page H1s language-specific and removed duplicate fallback-locale pages.</x:v>
      </x:c>
      <x:c r="J27" s="16" t="str">
        <x:v>Build verifier: 0 duplicate H1 groups.</x:v>
      </x:c>
    </x:row>
    <x:row r="28" ht="74" customHeight="1">
      <x:c r="A28" s="16" t="str">
        <x:v>Page Titles: Over 60 Characters</x:v>
      </x:c>
      <x:c r="B28" s="16" t="str">
        <x:v>Opportunity</x:v>
      </x:c>
      <x:c r="C28" s="16" t="str">
        <x:v>Medium</x:v>
      </x:c>
      <x:c r="D28" s="18" t="str">
        <x:v>124</x:v>
      </x:c>
      <x:c r="E28" s="20" t="str">
        <x:v>27.250</x:v>
      </x:c>
      <x:c r="F28" s="16" t="str">
        <x:v>Pages which have page titles that exceed the configured limit. Characters over this limit might be truncated in Google's search results and carry less weight in scoring.</x:v>
      </x:c>
      <x:c r="G28" s="16" t="str">
        <x:v>Write concise page titles to ensure important words are not truncated in the search results, not visible to users and potentially weighted less in scoring.</x:v>
      </x:c>
      <x:c r="H28" s="16" t="str">
        <x:v>Fixed</x:v>
      </x:c>
      <x:c r="I28" s="16" t="str">
        <x:v>Applied a global 60-character title guard at a word boundary, preferring removal of redundant branding.</x:v>
      </x:c>
      <x:c r="J28" s="16" t="str">
        <x:v>Build verifier: 0 titles over 60 characters.</x:v>
      </x:c>
    </x:row>
    <x:row r="29" ht="74" customHeight="1">
      <x:c r="A29" s="16" t="str">
        <x:v>Content: Low Content Pages</x:v>
      </x:c>
      <x:c r="B29" s="16" t="str">
        <x:v>Opportunity</x:v>
      </x:c>
      <x:c r="C29" s="16" t="str">
        <x:v>Medium</x:v>
      </x:c>
      <x:c r="D29" s="18" t="str">
        <x:v>37</x:v>
      </x:c>
      <x:c r="E29" s="20" t="str">
        <x:v>8.130</x:v>
      </x:c>
      <x:c r="F29" s="16" t="str">
        <x:v>Pages with a word count that is below the default 200 words. The word count is based upon the content area settings used in the analysis which can be configured via 'Config &gt; Content &gt; Area'. There isn't a minimum word count for pages in reality, but the search engines do require descriptive text to understand the purpose of a page. This filter should only be used as a rough guide to help identify pages that might be improved by adding more descriptive content in the context of the website and page's purpose. Some websites, such as ecommerce, will naturally have lower word counts, which can be acceptable if a products details can be communicated efficiently.</x:v>
      </x:c>
      <x:c r="G29" s="16" t="str">
        <x:v>Consider including additional descriptive content to help the user and search engines better understand the page.</x:v>
      </x:c>
      <x:c r="H29" s="16" t="str">
        <x:v>Editorial opportunity</x:v>
      </x:c>
      <x:c r="I29" s="16" t="str">
        <x:v>Left functional converter and utility pages concise rather than padding them with low-value copy.</x:v>
      </x:c>
      <x:c r="J29" s="16" t="str">
        <x:v>Prioritize additions only where user questions or search intent justify more content.</x:v>
      </x:c>
    </x:row>
    <x:row r="30" ht="74" customHeight="1">
      <x:c r="A30" s="16" t="str">
        <x:v>H1: Over 70 Characters</x:v>
      </x:c>
      <x:c r="B30" s="16" t="str">
        <x:v>Opportunity</x:v>
      </x:c>
      <x:c r="C30" s="16" t="str">
        <x:v>Low</x:v>
      </x:c>
      <x:c r="D30" s="18" t="str">
        <x:v>4</x:v>
      </x:c>
      <x:c r="E30" s="20" t="str">
        <x:v>0.880</x:v>
      </x:c>
      <x:c r="F30" s="16" t="str">
        <x:v>Pages which have &lt;h1&gt;s over the configured length. There is no hard limit for characters in an &lt;h1&gt;, however they should be clear and concise for users and long headings might be less helpful</x:v>
      </x:c>
      <x:c r="G30" s="16" t="str">
        <x:v>Write concise &lt;h1&gt;s for users, including target keywords where natural for users - without keyword stuffing.</x:v>
      </x:c>
      <x:c r="H30" s="16" t="str">
        <x:v>Fixed</x:v>
      </x:c>
      <x:c r="I30" s="16" t="str">
        <x:v>Validated rendered and entity-decoded heading text.</x:v>
      </x:c>
      <x:c r="J30" s="16" t="str">
        <x:v>Build verifier: 0 H1 headings over 70 decoded characters.</x:v>
      </x:c>
    </x:row>
    <x:row r="31" ht="74" customHeight="1">
      <x:c r="A31" s="16" t="str">
        <x:v>Images: Over 100 KB</x:v>
      </x:c>
      <x:c r="B31" s="16" t="str">
        <x:v>Opportunity</x:v>
      </x:c>
      <x:c r="C31" s="16" t="str">
        <x:v>Medium</x:v>
      </x:c>
      <x:c r="D31" s="18" t="str">
        <x:v>2</x:v>
      </x:c>
      <x:c r="E31" s="20" t="str">
        <x:v>40.000</x:v>
      </x:c>
      <x:c r="F31" s="16" t="str">
        <x:v>Large images over a size threshold. Page speed is extremely important for users and SEO and often large resources such as images are one of the most common issues that slow down web pages. This filter simply acts as a general rule of thumb to help identify images that are fairly large in file size and may take longer to load. These should be considered for optimisation, alongside opportunities identified in the PageSpeed tab which uses the PSI API and Lighthouse to audit speed. This can help identify images that haven't been optimised in size, load offscreen, are unoptimised etc.</x:v>
      </x:c>
      <x:c r="G31" s="16" t="str">
        <x:v>Uncompressed images bloat pages with unnecessary bytes, so ensure images are optimised with compression, properly scaled, and using the best image format to reduce file size where possible.</x:v>
      </x:c>
      <x:c r="H31" s="16" t="str">
        <x:v>Fixed</x:v>
      </x:c>
      <x:c r="I31" s="16" t="str">
        <x:v>Replaced two 325–336 KB remote feature images with locally optimized WebP assets.</x:v>
      </x:c>
      <x:c r="J31" s="16" t="str">
        <x:v>Both replacement images are approximately 14 KB with explicit 512×512 dimensions.</x:v>
      </x:c>
    </x:row>
    <x:row r="32" ht="74" customHeight="1">
      <x:c r="A32" s="16" t="str">
        <x:v>Security: Missing Content-Security-Policy Header</x:v>
      </x:c>
      <x:c r="B32" s="16" t="str">
        <x:v>Warning</x:v>
      </x:c>
      <x:c r="C32" s="16" t="str">
        <x:v>Low</x:v>
      </x:c>
      <x:c r="D32" s="18" t="str">
        <x:v>460</x:v>
      </x:c>
      <x:c r="E32" s="20" t="str">
        <x:v>94.070</x:v>
      </x:c>
      <x:c r="F32" s="16" t="str">
        <x:v>URLs that are missing the Content-Security-Policy response header. This header allows a website to control which resources are loaded for a page. This policy can help guard against cross-site scripting (XSS) attacks that exploit the browser's trust of the content received from the server. The SEO Spider only checks for existence of the header, and does not interrogate the policies found within the header to determine whether they are well set-up for the website. This should be performed manually.</x:v>
      </x:c>
      <x:c r="G32" s="16" t="str">
        <x:v>Set a strict Content-Security-Policy response header across all page to help mitigate cross site scripting (XSS) and data injection attacks.</x:v>
      </x:c>
      <x:c r="H32" s="16" t="str">
        <x:v>Fixed</x:v>
      </x:c>
      <x:c r="I32" s="16" t="str">
        <x:v>Added an enforced global Content-Security-Policy compatible with the site, analytics, ads, authentication, media, and workers.</x:v>
      </x:c>
      <x:c r="J32" s="16" t="str">
        <x:v>public/_headers now supplies CSP to static pages; Worker redirect responses use a strict no-content CSP.</x:v>
      </x:c>
    </x:row>
    <x:row r="33" ht="74" customHeight="1">
      <x:c r="A33" s="16" t="str">
        <x:v>Security: Missing Secure Referrer-Policy Header</x:v>
      </x:c>
      <x:c r="B33" s="16" t="str">
        <x:v>Warning</x:v>
      </x:c>
      <x:c r="C33" s="16" t="str">
        <x:v>Low</x:v>
      </x:c>
      <x:c r="D33" s="18" t="str">
        <x:v>2</x:v>
      </x:c>
      <x:c r="E33" s="20" t="str">
        <x:v>0.410</x:v>
      </x:c>
      <x:c r="F33" s="16" t="str">
        <x:v>URLs missing 'no-referrer-when-downgrade', 'strict-origin-when-cross-origin', 'no-referrer' or 'strict-origin' policies in the Referrer-Policy header. When using HTTPS, it's important that the URLs do not leak in non-HTTPS requests. This can expose users to 'man in the middle' attacks, as anyone on the network can view them.</x:v>
      </x:c>
      <x:c r="G33" s="16" t="str">
        <x:v>Consider setting a referrer policy of strict-origin-when-cross-origin. It retains much of the referrer's usefulness, while mitigating the risk of leaking data cross-origins.</x:v>
      </x:c>
      <x:c r="H33" s="16" t="str">
        <x:v>Fixed</x:v>
      </x:c>
      <x:c r="I33" s="16" t="str">
        <x:v>Added strict-origin-when-cross-origin globally and to generated redirects.</x:v>
      </x:c>
      <x:c r="J33" s="16" t="str">
        <x:v>public/_headers and Worker redirect helper both emit Referrer-Policy.</x:v>
      </x:c>
    </x:row>
    <x:row r="34" ht="74" customHeight="1">
      <x:c r="A34" s="16" t="str">
        <x:v>H2: Multiple</x:v>
      </x:c>
      <x:c r="B34" s="16" t="str">
        <x:v>Warning</x:v>
      </x:c>
      <x:c r="C34" s="16" t="str">
        <x:v>Low</x:v>
      </x:c>
      <x:c r="D34" s="18" t="str">
        <x:v>448</x:v>
      </x:c>
      <x:c r="E34" s="20" t="str">
        <x:v>98.460</x:v>
      </x:c>
      <x:c r="F34" s="16" t="str">
        <x:v>Pages which have multiple &lt;h2&gt;s. This is not an issue as HTML standards allow multiple &lt;h2&gt;'s when used in a logical hierarchical heading structure. However, this filter can help you quickly scan to review if they are used appropriately.</x:v>
      </x:c>
      <x:c r="G34" s="16" t="str">
        <x:v>Ensure &lt;h2&gt;s are used in a logical hierarchical heading structure, and update where appropriate utilising the full heading rank between (h3 - h6) for additional headings.</x:v>
      </x:c>
      <x:c r="H34" s="16" t="str">
        <x:v>Reviewed / intentional</x:v>
      </x:c>
      <x:c r="I34" s="16" t="str">
        <x:v>Kept multiple H2 sections because the pages use them as a logical document outline.</x:v>
      </x:c>
      <x:c r="J34" s="16" t="str">
        <x:v>HTML permits multiple H2 elements; build verifier confirms H1 is first and unique.</x:v>
      </x:c>
    </x:row>
    <x:row r="35" ht="74" customHeight="1">
      <x:c r="A35" s="16" t="str">
        <x:v>Content: Readability Difficult</x:v>
      </x:c>
      <x:c r="B35" s="16" t="str">
        <x:v>Opportunity</x:v>
      </x:c>
      <x:c r="C35" s="16" t="str">
        <x:v>Low</x:v>
      </x:c>
      <x:c r="D35" s="18" t="str">
        <x:v>27</x:v>
      </x:c>
      <x:c r="E35" s="20" t="str">
        <x:v>5.930</x:v>
      </x:c>
      <x:c r="F35" s="16" t="str">
        <x:v>Copy on the page is difficult to read and best understood by college graduates according to the Flesch reading-ease score formula. Copy that has long sentences and uses complex words are generally harder to read and understand.</x:v>
      </x:c>
      <x:c r="G35" s="16" t="str">
        <x:v>Consider improving the readability of copy for your target audience. Copy that uses shorter sentences with less complex words is often easier to read and understand.</x:v>
      </x:c>
      <x:c r="H35" s="16" t="str">
        <x:v>Editorial opportunity</x:v>
      </x:c>
      <x:c r="I35" s="16" t="str">
        <x:v>Flagged for copy review instead of mechanically simplifying technical or translated content.</x:v>
      </x:c>
      <x:c r="J35" s="16" t="str">
        <x:v>Review high-traffic pages first using audience-appropriate language and conversion data.</x:v>
      </x:c>
    </x:row>
    <x:row r="36" ht="74" customHeight="1">
      <x:c r="A36" s="16" t="str">
        <x:v>H1: Non-Sequential</x:v>
      </x:c>
      <x:c r="B36" s="16" t="str">
        <x:v>Warning</x:v>
      </x:c>
      <x:c r="C36" s="16" t="str">
        <x:v>Low</x:v>
      </x:c>
      <x:c r="D36" s="18" t="str">
        <x:v>6</x:v>
      </x:c>
      <x:c r="E36" s="20" t="str">
        <x:v>1.320</x:v>
      </x:c>
      <x:c r="F36" s="16" t="str">
        <x:v>Pages with an &lt;h1&gt; that is not the first heading on the page. Heading elements should be in a logical sequentially-descending order. The purpose of heading elements is to convey the structure of the page and they should be in logical order from &lt;h1&gt; to &lt;h6&gt;, which helps navigating the page and users that rely on assistive technologies.</x:v>
      </x:c>
      <x:c r="G36" s="16" t="str">
        <x:v>Ensure the &lt;h1&gt; is the first heading on the page. Headings should be in a logical sequential order from &lt;h1&gt; to &lt;h6&gt;. Review and update page heading levels so they are descending in order, for example the first heading level should be an &lt;h1&gt;, and this should be followed by an &lt;h2&gt;.</x:v>
      </x:c>
      <x:c r="H36" s="16" t="str">
        <x:v>Fixed</x:v>
      </x:c>
      <x:c r="I36" s="16" t="str">
        <x:v>Validated the rendered heading order across the prerendered site.</x:v>
      </x:c>
      <x:c r="J36" s="16" t="str">
        <x:v>Build verifier: 0 pages where H1 is not the first heading.</x:v>
      </x:c>
    </x:row>
    <x:row r="37" ht="74" customHeight="1">
      <x:c r="A37" s="16" t="str">
        <x:v>Hreflang: Missing Return Links</x:v>
      </x:c>
      <x:c r="B37" s="16" t="str">
        <x:v>Issue</x:v>
      </x:c>
      <x:c r="C37" s="16" t="str">
        <x:v>High</x:v>
      </x:c>
      <x:c r="D37" s="18" t="str">
        <x:v>6</x:v>
      </x:c>
      <x:c r="E37" s="20" t="str">
        <x:v>1.320</x:v>
      </x:c>
      <x:c r="F37" s="16" t="str">
        <x:v>URLs with missing return links (or 'return tags' in Google Search Console) to them, from their alternate pages. Hreflang is reciprocal, so all alternate versions must confirm the relationship. When page X links to page Y using hreflang to specify it as its alternate page, page Y must have a return link. No return links means the hreflang annotations may be ignored or not interpreted correctly. The missing return links URLs can be seen in the lower window 'URL Details' pane with a 'missing' confirmation status. They can be exported in bulk via the 'Reports &gt; Hreflang &gt; Missing Return Links' export.</x:v>
      </x:c>
      <x:c r="G37" s="16" t="str">
        <x:v>Ensure alternate pages include hreflang annotations to URLs which are missing return links. This will confirm they are a 'set' of alternate pages.</x:v>
      </x:c>
      <x:c r="H37" s="16" t="str">
        <x:v>Fixed</x:v>
      </x:c>
      <x:c r="I37" s="16" t="str">
        <x:v>Generate reciprocal hreflang sets only for locale pages that actually exist.</x:v>
      </x:c>
      <x:c r="J37" s="16" t="str">
        <x:v>Sitemap and page alternates share the same authored-locale registry; no fallback variants are advertised.</x:v>
      </x:c>
    </x:row>
    <x:row r="38" ht="74" customHeight="1">
      <x:c r="A38" s="16" t="str">
        <x:v>Validation: Missing &lt;head&gt; Tag</x:v>
      </x:c>
      <x:c r="B38" s="16" t="str">
        <x:v>Issue</x:v>
      </x:c>
      <x:c r="C38" s="16" t="str">
        <x:v>High</x:v>
      </x:c>
      <x:c r="D38" s="18" t="str">
        <x:v>1</x:v>
      </x:c>
      <x:c r="E38" s="20" t="str">
        <x:v>0.220</x:v>
      </x:c>
      <x:c r="F38" s="16" t="str">
        <x:v>Pages missing a &lt;head&gt; element within the HTML. The &lt;head&gt; element is a container for metadata about the page, that's placed between the &lt;html&gt; and &lt;body&gt; tag. Metadata is used to define the page title, character set, styles, scripts, viewport and other data that's critical to the page. Browsers and Googlebot will automatically generate a &lt;head&gt; element if it's omitted in the markup, however it may not contain meaningful metadata for the page and this should not be relied upon.</x:v>
      </x:c>
      <x:c r="G38" s="16" t="str">
        <x:v>Ensure all pages have a valid &lt;head&gt; element with appropriate metadata for the document that is the first element in the &lt;html&gt; element.</x:v>
      </x:c>
      <x:c r="H38" s="16" t="str">
        <x:v>Fixed</x:v>
      </x:c>
      <x:c r="I38" s="16" t="str">
        <x:v>Ensured rendered documents have a real head with canonical metadata and sanitized descriptions.</x:v>
      </x:c>
      <x:c r="J38" s="16" t="str">
        <x:v>Build verifier: 413/413 indexable prerendered pages have title, description, canonical, and language metadata.</x:v>
      </x:c>
    </x:row>
    <x:row r="39" ht="74" customHeight="1">
      <x:c r="A39" s="16" t="str">
        <x:v>Content: Readability Very Difficult</x:v>
      </x:c>
      <x:c r="B39" s="16" t="str">
        <x:v>Opportunity</x:v>
      </x:c>
      <x:c r="C39" s="16" t="str">
        <x:v>Low</x:v>
      </x:c>
      <x:c r="D39" s="18" t="str">
        <x:v>2</x:v>
      </x:c>
      <x:c r="E39" s="20" t="str">
        <x:v>0.440</x:v>
      </x:c>
      <x:c r="F39" s="16" t="str">
        <x:v>Copy on the page is very difficult to read and best understood by university graduates according to the Flesch reading-ease score formula. Copy that has long sentences and uses complex words are generally harder to read and understand.</x:v>
      </x:c>
      <x:c r="G39" s="16" t="str">
        <x:v>Consider improving the readability of copy for your target audience. Copy that uses shorter sentences with less complex words is often easier to read and understand.</x:v>
      </x:c>
      <x:c r="H39" s="16" t="str">
        <x:v>Editorial opportunity</x:v>
      </x:c>
      <x:c r="I39" s="16" t="str">
        <x:v>Flagged for a focused human copy review rather than broad automated rewriting.</x:v>
      </x:c>
      <x:c r="J39" s="16" t="str">
        <x:v>Review the two source URLs after exporting URL-level details, preserving necessary technical terminology.</x:v>
      </x:c>
    </x:row>
  </x:sheetData>
  <x:conditionalFormatting sqref="H2:H39">
    <x:cfRule type="containsText" dxfId="0" priority="1" operator="containsText" text="Fixed"/>
    <x:cfRule type="containsText" dxfId="1" priority="2" operator="containsText" text="Verified clean"/>
    <x:cfRule type="containsText" dxfId="2" priority="3" operator="containsText" text="Reviewed / intentional"/>
    <x:cfRule type="containsText" dxfId="3" priority="4" operator="containsText" text="Editorial opportunity"/>
    <x:cfRule type="containsText" dxfId="4" priority="5" operator="containsText" text="Needs URL export"/>
  </x:conditionalFormatting>
  <x:dataValidations count="1">
    <x:dataValidation type="list" sqref="H2:H39">
      <x:formula1>"Fixed,Verified clean,Reviewed / intentional,Editorial opportunity,Needs URL export"</x:formula1>
    </x:dataValidation>
  </x:dataValidations>
  <x:pageMargins left="0.7" right="0.7" top="0.75" bottom="0.75" header="0.3" footer="0.3"/>
  <x:tableParts count="1">
    <x:tablePart xmlns:r="http://schemas.openxmlformats.org/officeDocument/2006/relationships" r:id="R38539c74c25f4c8e"/>
  </x:tableParts>
</x:worksheet>
</file>

<file path=xl/worksheets/sheet2.xml><?xml version="1.0" encoding="utf-8"?>
<x:worksheet xmlns:x="http://schemas.openxmlformats.org/spreadsheetml/2006/main">
  <x:sheetViews>
    <x:sheetView showGridLines="0" workbookViewId="0"/>
  </x:sheetViews>
  <x:sheetFormatPr defaultRowHeight="15"/>
  <x:cols>
    <x:col min="1" max="1" width="31" hidden="0" customWidth="1"/>
    <x:col min="2" max="2" width="14" hidden="0" customWidth="1"/>
    <x:col min="3" max="3" width="5" hidden="0" customWidth="1"/>
    <x:col min="4" max="4" width="34" hidden="0" customWidth="1"/>
    <x:col min="5" max="5" width="14" hidden="0" customWidth="1"/>
    <x:col min="6" max="6" width="34" hidden="0" customWidth="1"/>
  </x:cols>
  <x:sheetData>
    <x:row r="1" ht="42" customHeight="1">
      <x:c r="A1" s="24" t="str">
        <x:v>ImageToURL SEO Remediation — 5 Aug 2026</x:v>
      </x:c>
      <x:c r="B1" s="24"/>
      <x:c r="C1" s="24"/>
      <x:c r="D1" s="24"/>
      <x:c r="E1" s="24"/>
      <x:c r="F1" s="24"/>
    </x:row>
    <x:row r="2" ht="28" customHeight="1">
      <x:c r="A2" s="30" t="str">
        <x:v>Source: Screaming Frog issue summary · Verification: production build + live internal-link crawl</x:v>
      </x:c>
      <x:c r="B2" s="30"/>
      <x:c r="C2" s="30"/>
      <x:c r="D2" s="30"/>
      <x:c r="E2" s="30"/>
      <x:c r="F2" s="30"/>
    </x:row>
    <x:row r="4" ht="27" customHeight="1">
      <x:c r="A4" s="36" t="str">
        <x:v>Metric</x:v>
      </x:c>
      <x:c r="B4" s="36" t="str">
        <x:v>Count</x:v>
      </x:c>
      <x:c r="D4" s="36" t="str">
        <x:v>Production verification</x:v>
      </x:c>
      <x:c r="E4" s="36" t="str">
        <x:v>Result</x:v>
      </x:c>
      <x:c r="F4" s="36" t="str">
        <x:v>Evidence</x:v>
      </x:c>
    </x:row>
    <x:row r="5" ht="27" customHeight="1">
      <x:c r="A5" s="40" t="str">
        <x:v>Issues in source report</x:v>
      </x:c>
      <x:c r="B5" s="52" t="n">
        <x:f>COUNTA('Issue Register'!A2:A39)</x:f>
        <x:v>38</x:v>
      </x:c>
      <x:c r="D5" s="44" t="str">
        <x:v>Prerendered pages checked</x:v>
      </x:c>
      <x:c r="E5" s="60" t="n">
        <x:v>413</x:v>
      </x:c>
      <x:c r="F5" s="44" t="str">
        <x:v>dist/client production HTML</x:v>
      </x:c>
    </x:row>
    <x:row r="6" ht="27" customHeight="1">
      <x:c r="A6" s="40" t="str">
        <x:v>Fixed</x:v>
      </x:c>
      <x:c r="B6" s="52" t="n">
        <x:f>COUNTIF('Issue Register'!H2:H39,"Fixed")</x:f>
        <x:v>23</x:v>
      </x:c>
      <x:c r="D6" s="44" t="str">
        <x:v>Broken internal URLs</x:v>
      </x:c>
      <x:c r="E6" s="60" t="n">
        <x:v>0</x:v>
      </x:c>
      <x:c r="F6" s="44" t="str">
        <x:v>1,155-link live crawl</x:v>
      </x:c>
    </x:row>
    <x:row r="7" ht="27" customHeight="1">
      <x:c r="A7" s="40" t="str">
        <x:v>Verified clean</x:v>
      </x:c>
      <x:c r="B7" s="52" t="n">
        <x:f>COUNTIF('Issue Register'!H2:H39,"Verified clean")</x:f>
        <x:v>1</x:v>
      </x:c>
      <x:c r="D7" s="44" t="str">
        <x:v>Long titles (&gt;60)</x:v>
      </x:c>
      <x:c r="E7" s="60" t="n">
        <x:v>0</x:v>
      </x:c>
      <x:c r="F7" s="44" t="str">
        <x:v>build verifier</x:v>
      </x:c>
    </x:row>
    <x:row r="8" ht="27" customHeight="1">
      <x:c r="A8" s="40" t="str">
        <x:v>Reviewed / intentional</x:v>
      </x:c>
      <x:c r="B8" s="52" t="n">
        <x:f>COUNTIF('Issue Register'!H2:H39,"Reviewed / intentional")</x:f>
        <x:v>8</x:v>
      </x:c>
      <x:c r="D8" s="44" t="str">
        <x:v>Long descriptions (&gt;155)</x:v>
      </x:c>
      <x:c r="E8" s="60" t="n">
        <x:v>0</x:v>
      </x:c>
      <x:c r="F8" s="44" t="str">
        <x:v>build verifier</x:v>
      </x:c>
    </x:row>
    <x:row r="9" ht="27" customHeight="1">
      <x:c r="A9" s="40" t="str">
        <x:v>Editorial opportunities</x:v>
      </x:c>
      <x:c r="B9" s="52" t="n">
        <x:f>COUNTIF('Issue Register'!H2:H39,"Editorial opportunity")</x:f>
        <x:v>5</x:v>
      </x:c>
      <x:c r="D9" s="44" t="str">
        <x:v>Duplicate title/description/H1 groups</x:v>
      </x:c>
      <x:c r="E9" s="60" t="n">
        <x:v>0</x:v>
      </x:c>
      <x:c r="F9" s="44" t="str">
        <x:v>build verifier</x:v>
      </x:c>
    </x:row>
    <x:row r="10" ht="27" customHeight="1">
      <x:c r="A10" s="40" t="str">
        <x:v>Needs URL-level export</x:v>
      </x:c>
      <x:c r="B10" s="52" t="n">
        <x:f>COUNTIF('Issue Register'!H2:H39,"Needs URL export")</x:f>
        <x:v>1</x:v>
      </x:c>
      <x:c r="D10" s="44" t="str">
        <x:v>Canonical/lang/self-hreflang failures</x:v>
      </x:c>
      <x:c r="E10" s="60" t="n">
        <x:v>0</x:v>
      </x:c>
      <x:c r="F10" s="44" t="str">
        <x:v>build verifier</x:v>
      </x:c>
    </x:row>
    <x:row r="11" ht="27" customHeight="1">
      <x:c r="D11" s="44" t="str">
        <x:v>Images over 100 KB addressed</x:v>
      </x:c>
      <x:c r="E11" s="60" t="n">
        <x:v>2</x:v>
      </x:c>
      <x:c r="F11" s="44" t="str">
        <x:v>325–336 KB → ~14 KB WebP</x:v>
      </x:c>
    </x:row>
    <x:row r="12" ht="27" customHeight="1"/>
    <x:row r="13" ht="27" customHeight="1">
      <x:c r="A13" s="64" t="str">
        <x:v>Deployment note</x:v>
      </x:c>
      <x:c r="B13" s="64"/>
      <x:c r="C13" s="64"/>
      <x:c r="D13" s="64"/>
      <x:c r="E13" s="64"/>
      <x:c r="F13" s="64"/>
    </x:row>
    <x:row r="14" ht="36" customHeight="1">
      <x:c r="A14" s="94" t="str">
        <x:v>The code and production build output are fixed locally. Deploy these changes, then run a fresh Screaming Frog crawl. The summary CSV did not contain URL-level rows for “Security: Bad Content Type”, so those three historical resources cannot be safely identified from this file alone.</x:v>
      </x:c>
      <x:c r="B14" s="95"/>
      <x:c r="C14" s="95"/>
      <x:c r="D14" s="95"/>
      <x:c r="E14" s="95"/>
      <x:c r="F14" s="96"/>
    </x:row>
    <x:row r="15" ht="36" customHeight="1">
      <x:c r="A15" s="97"/>
      <x:c r="B15" s="98"/>
      <x:c r="C15" s="98"/>
      <x:c r="D15" s="98"/>
      <x:c r="E15" s="98"/>
      <x:c r="F15" s="99"/>
    </x:row>
  </x:sheetData>
  <x:mergeCells>
    <x:mergeCell ref="A1:F1"/>
    <x:mergeCell ref="A2:F2"/>
    <x:mergeCell ref="A13:F13"/>
    <x:mergeCell ref="A14:F15"/>
  </x:mergeCells>
  <x:pageMargins left="0.7" right="0.7" top="0.75" bottom="0.75" header="0.3" footer="0.3"/>
</x:worksheet>
</file>